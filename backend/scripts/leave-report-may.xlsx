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ulkholdingsfze-my.sharepoint.com/personal/onedrive_mulkinternational_com/Documents/HR/HR New/Leave Report/2026/June 2026/"/>
    </mc:Choice>
  </mc:AlternateContent>
  <xr:revisionPtr revIDLastSave="226" documentId="8_{C9CD395C-E71E-47C6-914B-7AF5B90ED34C}" xr6:coauthVersionLast="47" xr6:coauthVersionMax="47" xr10:uidLastSave="{A39A2FF2-540E-4526-9BFB-2A5F4BC3D957}"/>
  <bookViews>
    <workbookView xWindow="-108" yWindow="-108" windowWidth="23256" windowHeight="12456" xr2:uid="{00000000-000D-0000-FFFF-FFFF00000000}"/>
  </bookViews>
  <sheets>
    <sheet name="Leave Tracker" sheetId="1" r:id="rId1"/>
    <sheet name="Leave report" sheetId="4" state="hidden" r:id="rId2"/>
    <sheet name="Annual Leave Balance" sheetId="3" r:id="rId3"/>
  </sheets>
  <externalReferences>
    <externalReference r:id="rId4"/>
  </externalReferences>
  <definedNames>
    <definedName name="_xlnm._FilterDatabase" localSheetId="2" hidden="1">'Annual Leave Balance'!$A$2:$P$382</definedName>
    <definedName name="_xlnm._FilterDatabase" localSheetId="1" hidden="1">'Leave report'!$A$1:$D$41</definedName>
    <definedName name="_xlnm._FilterDatabase" localSheetId="0" hidden="1">'Leave Tracker'!$A$1:$N$360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8" i="1" l="1"/>
  <c r="I358" i="1"/>
  <c r="B359" i="1"/>
  <c r="F359" i="1"/>
  <c r="I359" i="1"/>
  <c r="B360" i="1"/>
  <c r="F360" i="1"/>
  <c r="I360" i="1"/>
  <c r="F353" i="1"/>
  <c r="I353" i="1"/>
  <c r="B354" i="1"/>
  <c r="F354" i="1"/>
  <c r="I354" i="1"/>
  <c r="B355" i="1"/>
  <c r="F355" i="1"/>
  <c r="I355" i="1"/>
  <c r="B356" i="1"/>
  <c r="F356" i="1"/>
  <c r="I356" i="1"/>
  <c r="B357" i="1"/>
  <c r="F357" i="1"/>
  <c r="I357" i="1"/>
  <c r="B341" i="1"/>
  <c r="F341" i="1"/>
  <c r="I341" i="1"/>
  <c r="B342" i="1"/>
  <c r="F342" i="1"/>
  <c r="I342" i="1"/>
  <c r="B343" i="1"/>
  <c r="F343" i="1"/>
  <c r="I343" i="1"/>
  <c r="B344" i="1"/>
  <c r="F344" i="1"/>
  <c r="I344" i="1"/>
  <c r="B345" i="1"/>
  <c r="F345" i="1"/>
  <c r="I345" i="1"/>
  <c r="F346" i="1"/>
  <c r="I346" i="1"/>
  <c r="F347" i="1"/>
  <c r="I347" i="1"/>
  <c r="B348" i="1"/>
  <c r="F348" i="1"/>
  <c r="I348" i="1"/>
  <c r="B349" i="1"/>
  <c r="F349" i="1"/>
  <c r="I349" i="1"/>
  <c r="F350" i="1"/>
  <c r="I350" i="1"/>
  <c r="B351" i="1"/>
  <c r="F351" i="1"/>
  <c r="I351" i="1"/>
  <c r="B352" i="1"/>
  <c r="F352" i="1"/>
  <c r="I352" i="1"/>
  <c r="F254" i="3"/>
  <c r="B333" i="1"/>
  <c r="B335" i="1"/>
  <c r="B338" i="1"/>
  <c r="B339" i="1"/>
  <c r="B340" i="1"/>
  <c r="I332" i="1"/>
  <c r="I333" i="1"/>
  <c r="I334" i="1"/>
  <c r="I335" i="1"/>
  <c r="I336" i="1"/>
  <c r="I337" i="1"/>
  <c r="I338" i="1"/>
  <c r="I339" i="1"/>
  <c r="I340" i="1"/>
  <c r="F333" i="1"/>
  <c r="F334" i="1"/>
  <c r="F335" i="1"/>
  <c r="F336" i="1"/>
  <c r="F337" i="1"/>
  <c r="F338" i="1"/>
  <c r="F339" i="1"/>
  <c r="F340" i="1"/>
  <c r="F332" i="1"/>
  <c r="B332" i="1"/>
  <c r="B323" i="1"/>
  <c r="B325" i="1"/>
  <c r="B326" i="1"/>
  <c r="B329" i="1"/>
  <c r="B330" i="1"/>
  <c r="B331" i="1"/>
  <c r="B321" i="1"/>
  <c r="F321" i="1"/>
  <c r="I321" i="1"/>
  <c r="N321" i="1"/>
  <c r="O321" i="1"/>
  <c r="F322" i="1"/>
  <c r="I322" i="1"/>
  <c r="N322" i="1"/>
  <c r="O322" i="1"/>
  <c r="F323" i="1"/>
  <c r="I323" i="1"/>
  <c r="N323" i="1"/>
  <c r="O323" i="1"/>
  <c r="F324" i="1"/>
  <c r="I324" i="1"/>
  <c r="N324" i="1"/>
  <c r="O324" i="1"/>
  <c r="F325" i="1"/>
  <c r="I325" i="1"/>
  <c r="N325" i="1"/>
  <c r="O325" i="1"/>
  <c r="F326" i="1"/>
  <c r="I326" i="1"/>
  <c r="N326" i="1"/>
  <c r="O326" i="1"/>
  <c r="F327" i="1"/>
  <c r="I327" i="1"/>
  <c r="N327" i="1"/>
  <c r="O327" i="1"/>
  <c r="F328" i="1"/>
  <c r="I328" i="1"/>
  <c r="N328" i="1"/>
  <c r="O328" i="1"/>
  <c r="F329" i="1"/>
  <c r="I329" i="1"/>
  <c r="N329" i="1"/>
  <c r="O329" i="1"/>
  <c r="F330" i="1"/>
  <c r="I330" i="1"/>
  <c r="N330" i="1"/>
  <c r="O330" i="1"/>
  <c r="F331" i="1"/>
  <c r="I331" i="1"/>
  <c r="N331" i="1"/>
  <c r="O331" i="1"/>
  <c r="B317" i="1"/>
  <c r="F317" i="1"/>
  <c r="I317" i="1"/>
  <c r="N317" i="1"/>
  <c r="O317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8" i="1"/>
  <c r="O319" i="1"/>
  <c r="O320" i="1"/>
  <c r="N312" i="1"/>
  <c r="N313" i="1"/>
  <c r="N314" i="1"/>
  <c r="N315" i="1"/>
  <c r="N316" i="1"/>
  <c r="N318" i="1"/>
  <c r="N319" i="1"/>
  <c r="N320" i="1"/>
  <c r="I312" i="1"/>
  <c r="I313" i="1"/>
  <c r="I314" i="1"/>
  <c r="I315" i="1"/>
  <c r="I316" i="1"/>
  <c r="I318" i="1"/>
  <c r="I319" i="1"/>
  <c r="I320" i="1"/>
  <c r="F312" i="1"/>
  <c r="F313" i="1"/>
  <c r="F314" i="1"/>
  <c r="F315" i="1"/>
  <c r="F316" i="1"/>
  <c r="F318" i="1"/>
  <c r="F319" i="1"/>
  <c r="F320" i="1"/>
  <c r="B312" i="1"/>
  <c r="B313" i="1"/>
  <c r="B314" i="1"/>
  <c r="B316" i="1"/>
  <c r="B318" i="1"/>
  <c r="B319" i="1"/>
  <c r="F309" i="1"/>
  <c r="F310" i="1"/>
  <c r="F311" i="1"/>
  <c r="B308" i="1"/>
  <c r="F308" i="1"/>
  <c r="I308" i="1"/>
  <c r="N308" i="1"/>
  <c r="B309" i="1"/>
  <c r="I309" i="1"/>
  <c r="N309" i="1"/>
  <c r="B310" i="1"/>
  <c r="I310" i="1"/>
  <c r="N310" i="1"/>
  <c r="B311" i="1"/>
  <c r="I311" i="1"/>
  <c r="N311" i="1"/>
  <c r="G254" i="3" l="1"/>
  <c r="H33" i="4"/>
  <c r="H12" i="4"/>
  <c r="H11" i="4"/>
  <c r="F298" i="1"/>
  <c r="B291" i="1"/>
  <c r="B292" i="1"/>
  <c r="B293" i="1"/>
  <c r="B295" i="1"/>
  <c r="B296" i="1"/>
  <c r="B298" i="1"/>
  <c r="B299" i="1"/>
  <c r="B300" i="1"/>
  <c r="B301" i="1"/>
  <c r="B302" i="1"/>
  <c r="B303" i="1"/>
  <c r="B304" i="1"/>
  <c r="B305" i="1"/>
  <c r="B306" i="1"/>
  <c r="B307" i="1"/>
  <c r="F291" i="1"/>
  <c r="F292" i="1"/>
  <c r="F293" i="1"/>
  <c r="F294" i="1"/>
  <c r="F295" i="1"/>
  <c r="F296" i="1"/>
  <c r="F297" i="1"/>
  <c r="F299" i="1"/>
  <c r="F300" i="1"/>
  <c r="F301" i="1"/>
  <c r="F302" i="1"/>
  <c r="F303" i="1"/>
  <c r="F305" i="1"/>
  <c r="F306" i="1"/>
  <c r="F307" i="1"/>
  <c r="I291" i="1"/>
  <c r="I292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N291" i="1"/>
  <c r="N292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O291" i="1"/>
  <c r="O292" i="1"/>
  <c r="O294" i="1"/>
  <c r="O295" i="1"/>
  <c r="O296" i="1"/>
  <c r="O297" i="1"/>
  <c r="O298" i="1"/>
  <c r="O299" i="1"/>
  <c r="O300" i="1"/>
  <c r="O301" i="1"/>
  <c r="O302" i="1"/>
  <c r="O303" i="1"/>
  <c r="O304" i="1"/>
  <c r="B280" i="1"/>
  <c r="B282" i="1"/>
  <c r="B283" i="1"/>
  <c r="B284" i="1"/>
  <c r="B286" i="1"/>
  <c r="B287" i="1"/>
  <c r="B288" i="1"/>
  <c r="B289" i="1"/>
  <c r="F280" i="1"/>
  <c r="F281" i="1"/>
  <c r="F282" i="1"/>
  <c r="F283" i="1"/>
  <c r="F284" i="1"/>
  <c r="F285" i="1"/>
  <c r="F286" i="1"/>
  <c r="F287" i="1"/>
  <c r="F288" i="1"/>
  <c r="F289" i="1"/>
  <c r="F290" i="1"/>
  <c r="I280" i="1"/>
  <c r="I281" i="1"/>
  <c r="I282" i="1"/>
  <c r="I283" i="1"/>
  <c r="I284" i="1"/>
  <c r="I285" i="1"/>
  <c r="I286" i="1"/>
  <c r="I287" i="1"/>
  <c r="I288" i="1"/>
  <c r="I289" i="1"/>
  <c r="I290" i="1"/>
  <c r="N280" i="1"/>
  <c r="N281" i="1"/>
  <c r="N282" i="1"/>
  <c r="N283" i="1"/>
  <c r="N284" i="1"/>
  <c r="N285" i="1"/>
  <c r="N286" i="1"/>
  <c r="N287" i="1"/>
  <c r="N288" i="1"/>
  <c r="N289" i="1"/>
  <c r="N290" i="1"/>
  <c r="O280" i="1"/>
  <c r="O281" i="1"/>
  <c r="O282" i="1"/>
  <c r="O283" i="1"/>
  <c r="O284" i="1"/>
  <c r="O285" i="1"/>
  <c r="O286" i="1"/>
  <c r="O287" i="1"/>
  <c r="O288" i="1"/>
  <c r="O289" i="1"/>
  <c r="O290" i="1"/>
  <c r="E239" i="3"/>
  <c r="E149" i="3"/>
  <c r="B272" i="1"/>
  <c r="F272" i="1"/>
  <c r="I272" i="1"/>
  <c r="N272" i="1"/>
  <c r="O272" i="1"/>
  <c r="B273" i="1"/>
  <c r="F273" i="1"/>
  <c r="I273" i="1"/>
  <c r="N273" i="1"/>
  <c r="O273" i="1"/>
  <c r="B274" i="1"/>
  <c r="F274" i="1"/>
  <c r="I274" i="1"/>
  <c r="N274" i="1"/>
  <c r="O274" i="1"/>
  <c r="B275" i="1"/>
  <c r="F275" i="1"/>
  <c r="I275" i="1"/>
  <c r="N275" i="1"/>
  <c r="O275" i="1"/>
  <c r="B276" i="1"/>
  <c r="F276" i="1"/>
  <c r="I276" i="1"/>
  <c r="N276" i="1"/>
  <c r="O276" i="1"/>
  <c r="B277" i="1"/>
  <c r="F277" i="1"/>
  <c r="I277" i="1"/>
  <c r="N277" i="1"/>
  <c r="O277" i="1"/>
  <c r="B278" i="1"/>
  <c r="F278" i="1"/>
  <c r="I278" i="1"/>
  <c r="N278" i="1"/>
  <c r="O278" i="1"/>
  <c r="B279" i="1"/>
  <c r="F279" i="1"/>
  <c r="I279" i="1"/>
  <c r="N279" i="1"/>
  <c r="O279" i="1"/>
  <c r="K254" i="3" l="1"/>
  <c r="E141" i="3"/>
  <c r="E27" i="3" l="1"/>
  <c r="B257" i="1" l="1"/>
  <c r="F257" i="1"/>
  <c r="I257" i="1"/>
  <c r="N257" i="1"/>
  <c r="O257" i="1"/>
  <c r="B258" i="1"/>
  <c r="F258" i="1"/>
  <c r="I258" i="1"/>
  <c r="N258" i="1"/>
  <c r="O258" i="1"/>
  <c r="B259" i="1"/>
  <c r="F259" i="1"/>
  <c r="I259" i="1"/>
  <c r="N259" i="1"/>
  <c r="O259" i="1"/>
  <c r="B260" i="1"/>
  <c r="F260" i="1"/>
  <c r="I260" i="1"/>
  <c r="N260" i="1"/>
  <c r="O260" i="1"/>
  <c r="B261" i="1"/>
  <c r="F261" i="1"/>
  <c r="I261" i="1"/>
  <c r="N261" i="1"/>
  <c r="O261" i="1"/>
  <c r="F262" i="1"/>
  <c r="I262" i="1"/>
  <c r="N262" i="1"/>
  <c r="O262" i="1"/>
  <c r="B263" i="1"/>
  <c r="F263" i="1"/>
  <c r="I263" i="1"/>
  <c r="N263" i="1"/>
  <c r="O263" i="1"/>
  <c r="F264" i="1"/>
  <c r="I264" i="1"/>
  <c r="N264" i="1"/>
  <c r="O264" i="1"/>
  <c r="B265" i="1"/>
  <c r="F265" i="1"/>
  <c r="I265" i="1"/>
  <c r="N265" i="1"/>
  <c r="O265" i="1"/>
  <c r="B266" i="1"/>
  <c r="F266" i="1"/>
  <c r="I266" i="1"/>
  <c r="N266" i="1"/>
  <c r="O266" i="1"/>
  <c r="B267" i="1"/>
  <c r="F267" i="1"/>
  <c r="I267" i="1"/>
  <c r="N267" i="1"/>
  <c r="O267" i="1"/>
  <c r="B268" i="1"/>
  <c r="F268" i="1"/>
  <c r="I268" i="1"/>
  <c r="N268" i="1"/>
  <c r="O268" i="1"/>
  <c r="B269" i="1"/>
  <c r="F269" i="1"/>
  <c r="I269" i="1"/>
  <c r="N269" i="1"/>
  <c r="O269" i="1"/>
  <c r="F270" i="1"/>
  <c r="I270" i="1"/>
  <c r="N270" i="1"/>
  <c r="O270" i="1"/>
  <c r="F247" i="1"/>
  <c r="I247" i="1"/>
  <c r="N247" i="1"/>
  <c r="O247" i="1"/>
  <c r="F248" i="1"/>
  <c r="I248" i="1"/>
  <c r="N248" i="1"/>
  <c r="O248" i="1"/>
  <c r="B249" i="1"/>
  <c r="F249" i="1"/>
  <c r="I249" i="1"/>
  <c r="N249" i="1"/>
  <c r="O249" i="1"/>
  <c r="B250" i="1"/>
  <c r="F250" i="1"/>
  <c r="I250" i="1"/>
  <c r="N250" i="1"/>
  <c r="O250" i="1"/>
  <c r="B251" i="1"/>
  <c r="F251" i="1"/>
  <c r="I251" i="1"/>
  <c r="N251" i="1"/>
  <c r="O251" i="1"/>
  <c r="B252" i="1"/>
  <c r="F252" i="1"/>
  <c r="I252" i="1"/>
  <c r="N252" i="1"/>
  <c r="O252" i="1"/>
  <c r="F253" i="1"/>
  <c r="I253" i="1"/>
  <c r="N253" i="1"/>
  <c r="O253" i="1"/>
  <c r="B254" i="1"/>
  <c r="F254" i="1"/>
  <c r="I254" i="1"/>
  <c r="N254" i="1"/>
  <c r="O254" i="1"/>
  <c r="F255" i="1"/>
  <c r="I255" i="1"/>
  <c r="N255" i="1"/>
  <c r="O255" i="1"/>
  <c r="B256" i="1"/>
  <c r="F256" i="1"/>
  <c r="I256" i="1"/>
  <c r="N256" i="1"/>
  <c r="O256" i="1"/>
  <c r="F233" i="1" l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B233" i="1"/>
  <c r="B234" i="1"/>
  <c r="B235" i="1"/>
  <c r="B236" i="1"/>
  <c r="B237" i="1"/>
  <c r="B238" i="1"/>
  <c r="B239" i="1"/>
  <c r="B240" i="1"/>
  <c r="B241" i="1"/>
  <c r="B243" i="1"/>
  <c r="B244" i="1"/>
  <c r="B245" i="1"/>
  <c r="B246" i="1"/>
  <c r="I233" i="1"/>
  <c r="N233" i="1"/>
  <c r="O233" i="1"/>
  <c r="I234" i="1"/>
  <c r="N234" i="1"/>
  <c r="O234" i="1"/>
  <c r="I235" i="1"/>
  <c r="N235" i="1"/>
  <c r="O235" i="1"/>
  <c r="I236" i="1"/>
  <c r="N236" i="1"/>
  <c r="O236" i="1"/>
  <c r="I237" i="1"/>
  <c r="N237" i="1"/>
  <c r="O237" i="1"/>
  <c r="I238" i="1"/>
  <c r="N238" i="1"/>
  <c r="O238" i="1"/>
  <c r="I239" i="1"/>
  <c r="N239" i="1"/>
  <c r="O239" i="1"/>
  <c r="I240" i="1"/>
  <c r="N240" i="1"/>
  <c r="O240" i="1"/>
  <c r="I241" i="1"/>
  <c r="N241" i="1"/>
  <c r="O241" i="1"/>
  <c r="I242" i="1"/>
  <c r="N242" i="1"/>
  <c r="O242" i="1"/>
  <c r="I243" i="1"/>
  <c r="N243" i="1"/>
  <c r="O243" i="1"/>
  <c r="I244" i="1"/>
  <c r="N244" i="1"/>
  <c r="O244" i="1"/>
  <c r="I245" i="1"/>
  <c r="N245" i="1"/>
  <c r="O245" i="1"/>
  <c r="I246" i="1"/>
  <c r="N246" i="1"/>
  <c r="O246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I221" i="1"/>
  <c r="N221" i="1"/>
  <c r="O221" i="1"/>
  <c r="B222" i="1"/>
  <c r="I222" i="1"/>
  <c r="N222" i="1"/>
  <c r="O222" i="1"/>
  <c r="B223" i="1"/>
  <c r="I223" i="1"/>
  <c r="N223" i="1"/>
  <c r="O223" i="1"/>
  <c r="B224" i="1"/>
  <c r="I224" i="1"/>
  <c r="N224" i="1"/>
  <c r="O224" i="1"/>
  <c r="B225" i="1"/>
  <c r="I225" i="1"/>
  <c r="N225" i="1"/>
  <c r="O225" i="1"/>
  <c r="B226" i="1"/>
  <c r="I226" i="1"/>
  <c r="N226" i="1"/>
  <c r="O226" i="1"/>
  <c r="B227" i="1"/>
  <c r="I227" i="1"/>
  <c r="N227" i="1"/>
  <c r="O227" i="1"/>
  <c r="B228" i="1"/>
  <c r="I228" i="1"/>
  <c r="N228" i="1"/>
  <c r="O228" i="1"/>
  <c r="B229" i="1"/>
  <c r="I229" i="1"/>
  <c r="N229" i="1"/>
  <c r="O229" i="1"/>
  <c r="B230" i="1"/>
  <c r="I230" i="1"/>
  <c r="N230" i="1"/>
  <c r="O230" i="1"/>
  <c r="B231" i="1"/>
  <c r="I231" i="1"/>
  <c r="N231" i="1"/>
  <c r="O231" i="1"/>
  <c r="I232" i="1"/>
  <c r="N232" i="1"/>
  <c r="O232" i="1"/>
  <c r="F157" i="1"/>
  <c r="F173" i="1" l="1"/>
  <c r="E278" i="3" l="1"/>
  <c r="E341" i="3" l="1"/>
  <c r="I95" i="3" l="1"/>
  <c r="H95" i="3"/>
  <c r="B216" i="1" l="1"/>
  <c r="B217" i="1"/>
  <c r="B218" i="1"/>
  <c r="B219" i="1"/>
  <c r="B220" i="1"/>
  <c r="E168" i="3"/>
  <c r="B211" i="1" l="1"/>
  <c r="F211" i="1"/>
  <c r="I211" i="1"/>
  <c r="N211" i="1"/>
  <c r="O211" i="1"/>
  <c r="B212" i="1"/>
  <c r="F212" i="1"/>
  <c r="I212" i="1"/>
  <c r="N212" i="1"/>
  <c r="O212" i="1"/>
  <c r="F213" i="1"/>
  <c r="I213" i="1"/>
  <c r="N213" i="1"/>
  <c r="O213" i="1"/>
  <c r="B214" i="1"/>
  <c r="F214" i="1"/>
  <c r="I214" i="1"/>
  <c r="N214" i="1"/>
  <c r="O214" i="1"/>
  <c r="B215" i="1"/>
  <c r="F215" i="1"/>
  <c r="I215" i="1"/>
  <c r="N215" i="1"/>
  <c r="O215" i="1"/>
  <c r="F216" i="1"/>
  <c r="I216" i="1"/>
  <c r="N216" i="1"/>
  <c r="O216" i="1"/>
  <c r="F217" i="1"/>
  <c r="I217" i="1"/>
  <c r="N217" i="1"/>
  <c r="O217" i="1"/>
  <c r="F218" i="1"/>
  <c r="I218" i="1"/>
  <c r="N218" i="1"/>
  <c r="O218" i="1"/>
  <c r="F219" i="1"/>
  <c r="I219" i="1"/>
  <c r="N219" i="1"/>
  <c r="O219" i="1"/>
  <c r="F220" i="1"/>
  <c r="I220" i="1"/>
  <c r="N220" i="1"/>
  <c r="O220" i="1"/>
  <c r="E197" i="3"/>
  <c r="B203" i="1" l="1"/>
  <c r="F203" i="1"/>
  <c r="I203" i="1"/>
  <c r="N203" i="1"/>
  <c r="O203" i="1"/>
  <c r="B204" i="1"/>
  <c r="F204" i="1"/>
  <c r="I204" i="1"/>
  <c r="N204" i="1"/>
  <c r="O204" i="1"/>
  <c r="B205" i="1"/>
  <c r="F205" i="1"/>
  <c r="I205" i="1"/>
  <c r="N205" i="1"/>
  <c r="O205" i="1"/>
  <c r="B206" i="1"/>
  <c r="F206" i="1"/>
  <c r="I206" i="1"/>
  <c r="N206" i="1"/>
  <c r="O206" i="1"/>
  <c r="B207" i="1"/>
  <c r="F207" i="1"/>
  <c r="I207" i="1"/>
  <c r="N207" i="1"/>
  <c r="O207" i="1"/>
  <c r="B208" i="1"/>
  <c r="F208" i="1"/>
  <c r="I208" i="1"/>
  <c r="N208" i="1"/>
  <c r="O208" i="1"/>
  <c r="B209" i="1"/>
  <c r="F209" i="1"/>
  <c r="I209" i="1"/>
  <c r="N209" i="1"/>
  <c r="O209" i="1"/>
  <c r="B210" i="1"/>
  <c r="F210" i="1"/>
  <c r="I210" i="1"/>
  <c r="N210" i="1"/>
  <c r="O210" i="1"/>
  <c r="E205" i="3"/>
  <c r="E97" i="3" l="1"/>
  <c r="B195" i="1" l="1"/>
  <c r="F195" i="1"/>
  <c r="I195" i="1"/>
  <c r="N195" i="1"/>
  <c r="B196" i="1"/>
  <c r="F196" i="1"/>
  <c r="I196" i="1"/>
  <c r="N196" i="1"/>
  <c r="B197" i="1"/>
  <c r="F197" i="1"/>
  <c r="I197" i="1"/>
  <c r="N197" i="1"/>
  <c r="F198" i="1"/>
  <c r="I198" i="1"/>
  <c r="N198" i="1"/>
  <c r="B199" i="1"/>
  <c r="F199" i="1"/>
  <c r="I199" i="1"/>
  <c r="N199" i="1"/>
  <c r="B200" i="1"/>
  <c r="F200" i="1"/>
  <c r="I200" i="1"/>
  <c r="N200" i="1"/>
  <c r="B201" i="1"/>
  <c r="F201" i="1"/>
  <c r="I201" i="1"/>
  <c r="N201" i="1"/>
  <c r="B202" i="1"/>
  <c r="F202" i="1"/>
  <c r="I202" i="1"/>
  <c r="N202" i="1"/>
  <c r="O195" i="1"/>
  <c r="O196" i="1"/>
  <c r="O197" i="1"/>
  <c r="O198" i="1"/>
  <c r="O199" i="1"/>
  <c r="O200" i="1"/>
  <c r="O201" i="1"/>
  <c r="O202" i="1"/>
  <c r="E7" i="3" l="1"/>
  <c r="B141" i="1" l="1"/>
  <c r="F141" i="1"/>
  <c r="I141" i="1"/>
  <c r="N141" i="1"/>
  <c r="O141" i="1"/>
  <c r="B191" i="1"/>
  <c r="F181" i="1" l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E288" i="3" l="1"/>
  <c r="B180" i="1" l="1"/>
  <c r="B181" i="1"/>
  <c r="B182" i="1"/>
  <c r="B183" i="1"/>
  <c r="B184" i="1"/>
  <c r="B185" i="1"/>
  <c r="B186" i="1"/>
  <c r="B187" i="1"/>
  <c r="B188" i="1"/>
  <c r="B189" i="1"/>
  <c r="B190" i="1"/>
  <c r="B192" i="1"/>
  <c r="B193" i="1"/>
  <c r="B194" i="1"/>
  <c r="F180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E214" i="3" l="1"/>
  <c r="E216" i="3"/>
  <c r="E115" i="3" l="1"/>
  <c r="F176" i="1" l="1"/>
  <c r="F177" i="1"/>
  <c r="F178" i="1"/>
  <c r="F179" i="1"/>
  <c r="E295" i="3" l="1"/>
  <c r="B42" i="1" l="1"/>
  <c r="F42" i="1"/>
  <c r="I42" i="1"/>
  <c r="N42" i="1"/>
  <c r="O42" i="1"/>
  <c r="N100" i="3" l="1"/>
  <c r="N92" i="3"/>
  <c r="N72" i="3"/>
  <c r="N54" i="3"/>
  <c r="N105" i="3"/>
  <c r="N5" i="3"/>
  <c r="N36" i="3"/>
  <c r="N59" i="3"/>
  <c r="N119" i="3"/>
  <c r="N51" i="3"/>
  <c r="N52" i="3"/>
  <c r="N4" i="3"/>
  <c r="N50" i="3"/>
  <c r="N83" i="3"/>
  <c r="N26" i="3"/>
  <c r="N42" i="3"/>
  <c r="N107" i="3"/>
  <c r="N49" i="3"/>
  <c r="N99" i="3"/>
  <c r="N33" i="3"/>
  <c r="N19" i="3"/>
  <c r="N162" i="3"/>
  <c r="N180" i="3"/>
  <c r="N136" i="3"/>
  <c r="N85" i="3"/>
  <c r="N78" i="3"/>
  <c r="N218" i="3"/>
  <c r="N82" i="3"/>
  <c r="N90" i="3"/>
  <c r="N145" i="3"/>
  <c r="N146" i="3"/>
  <c r="N39" i="3"/>
  <c r="N101" i="3"/>
  <c r="N151" i="3"/>
  <c r="N96" i="3"/>
  <c r="N150" i="3"/>
  <c r="N152" i="3"/>
  <c r="N225" i="3"/>
  <c r="N224" i="3"/>
  <c r="N228" i="3"/>
  <c r="N229" i="3"/>
  <c r="N194" i="3"/>
  <c r="N231" i="3"/>
  <c r="N232" i="3"/>
  <c r="N233" i="3"/>
  <c r="N235" i="3"/>
  <c r="N153" i="3"/>
  <c r="N240" i="3"/>
  <c r="N238" i="3"/>
  <c r="N243" i="3"/>
  <c r="N237" i="3"/>
  <c r="N241" i="3"/>
  <c r="N95" i="3"/>
  <c r="N134" i="3"/>
  <c r="N74" i="3"/>
  <c r="N214" i="3"/>
  <c r="N132" i="3"/>
  <c r="N160" i="3"/>
  <c r="N236" i="3"/>
  <c r="N118" i="3"/>
  <c r="N216" i="3"/>
  <c r="N251" i="3"/>
  <c r="N247" i="3"/>
  <c r="N249" i="3"/>
  <c r="N161" i="3"/>
  <c r="N250" i="3"/>
  <c r="N174" i="3"/>
  <c r="N175" i="3"/>
  <c r="N170" i="3"/>
  <c r="N253" i="3"/>
  <c r="N177" i="3"/>
  <c r="N172" i="3"/>
  <c r="N169" i="3"/>
  <c r="N120" i="3"/>
  <c r="N184" i="3"/>
  <c r="N173" i="3"/>
  <c r="N178" i="3"/>
  <c r="N183" i="3"/>
  <c r="N185" i="3"/>
  <c r="N255" i="3"/>
  <c r="N181" i="3"/>
  <c r="N190" i="3"/>
  <c r="N256" i="3"/>
  <c r="N187" i="3"/>
  <c r="N257" i="3"/>
  <c r="N211" i="3"/>
  <c r="N215" i="3"/>
  <c r="N258" i="3"/>
  <c r="N193" i="3"/>
  <c r="N260" i="3"/>
  <c r="N261" i="3"/>
  <c r="N264" i="3"/>
  <c r="N259" i="3"/>
  <c r="N198" i="3"/>
  <c r="N273" i="3"/>
  <c r="N196" i="3"/>
  <c r="N265" i="3"/>
  <c r="N71" i="3"/>
  <c r="N269" i="3"/>
  <c r="N270" i="3"/>
  <c r="N271" i="3"/>
  <c r="N200" i="3"/>
  <c r="N202" i="3"/>
  <c r="N205" i="3"/>
  <c r="N275" i="3"/>
  <c r="N277" i="3"/>
  <c r="N176" i="3"/>
  <c r="N266" i="3"/>
  <c r="N279" i="3"/>
  <c r="N281" i="3"/>
  <c r="N297" i="3"/>
  <c r="N298" i="3"/>
  <c r="N207" i="3"/>
  <c r="N283" i="3"/>
  <c r="N284" i="3"/>
  <c r="N126" i="3"/>
  <c r="N286" i="3"/>
  <c r="N60" i="3"/>
  <c r="N287" i="3"/>
  <c r="N144" i="3"/>
  <c r="N289" i="3"/>
  <c r="N288" i="3"/>
  <c r="N20" i="3"/>
  <c r="N293" i="3"/>
  <c r="N290" i="3"/>
  <c r="N295" i="3"/>
  <c r="N299" i="3"/>
  <c r="N300" i="3"/>
  <c r="N301" i="3"/>
  <c r="N303" i="3"/>
  <c r="N124" i="3"/>
  <c r="N314" i="3"/>
  <c r="N309" i="3"/>
  <c r="N221" i="3"/>
  <c r="N312" i="3"/>
  <c r="N313" i="3"/>
  <c r="N141" i="3"/>
  <c r="N315" i="3"/>
  <c r="N316" i="3"/>
  <c r="N319" i="3"/>
  <c r="N320" i="3"/>
  <c r="N321" i="3"/>
  <c r="N325" i="3"/>
  <c r="N323" i="3"/>
  <c r="N322" i="3"/>
  <c r="N324" i="3"/>
  <c r="N142" i="3"/>
  <c r="N230" i="3"/>
  <c r="N329" i="3"/>
  <c r="N330" i="3"/>
  <c r="N331" i="3"/>
  <c r="N340" i="3"/>
  <c r="N7" i="3"/>
  <c r="N341" i="3"/>
  <c r="N336" i="3"/>
  <c r="N337" i="3"/>
  <c r="N338" i="3"/>
  <c r="N342" i="3"/>
  <c r="N343" i="3"/>
  <c r="N344" i="3"/>
  <c r="N346" i="3"/>
  <c r="N352" i="3"/>
  <c r="N347" i="3"/>
  <c r="N348" i="3"/>
  <c r="N349" i="3"/>
  <c r="N350" i="3"/>
  <c r="N117" i="3"/>
  <c r="N131" i="3"/>
  <c r="N353" i="3"/>
  <c r="N354" i="3"/>
  <c r="N356" i="3"/>
  <c r="N357" i="3"/>
  <c r="N358" i="3"/>
  <c r="N359" i="3"/>
  <c r="N360" i="3"/>
  <c r="N361" i="3"/>
  <c r="N362" i="3"/>
  <c r="N363" i="3"/>
  <c r="N364" i="3"/>
  <c r="N372" i="3"/>
  <c r="N377" i="3"/>
  <c r="N165" i="3"/>
  <c r="N333" i="3"/>
  <c r="N335" i="3"/>
  <c r="N368" i="3"/>
  <c r="N135" i="3"/>
  <c r="N115" i="3"/>
  <c r="B172" i="1" l="1"/>
  <c r="B173" i="1"/>
  <c r="B174" i="1"/>
  <c r="B175" i="1"/>
  <c r="B176" i="1"/>
  <c r="B177" i="1"/>
  <c r="B178" i="1"/>
  <c r="B179" i="1"/>
  <c r="F172" i="1"/>
  <c r="N306" i="3"/>
  <c r="F174" i="1"/>
  <c r="F175" i="1"/>
  <c r="I172" i="1"/>
  <c r="I173" i="1"/>
  <c r="I174" i="1"/>
  <c r="I175" i="1"/>
  <c r="I176" i="1"/>
  <c r="I177" i="1"/>
  <c r="I178" i="1"/>
  <c r="I179" i="1"/>
  <c r="N172" i="1"/>
  <c r="N173" i="1"/>
  <c r="N174" i="1"/>
  <c r="N175" i="1"/>
  <c r="N176" i="1"/>
  <c r="N177" i="1"/>
  <c r="N178" i="1"/>
  <c r="N179" i="1"/>
  <c r="O172" i="1"/>
  <c r="O173" i="1"/>
  <c r="O174" i="1"/>
  <c r="O175" i="1"/>
  <c r="O176" i="1"/>
  <c r="O177" i="1"/>
  <c r="O178" i="1"/>
  <c r="O179" i="1"/>
  <c r="E142" i="3"/>
  <c r="N91" i="3" l="1"/>
  <c r="N223" i="3"/>
  <c r="N114" i="3"/>
  <c r="E306" i="3" l="1"/>
  <c r="B162" i="1" l="1"/>
  <c r="B164" i="1"/>
  <c r="B166" i="1"/>
  <c r="B167" i="1"/>
  <c r="B168" i="1"/>
  <c r="B169" i="1"/>
  <c r="B170" i="1"/>
  <c r="B171" i="1"/>
  <c r="F162" i="1"/>
  <c r="F163" i="1"/>
  <c r="F164" i="1"/>
  <c r="F165" i="1"/>
  <c r="F166" i="1"/>
  <c r="F167" i="1"/>
  <c r="F168" i="1"/>
  <c r="N278" i="3" s="1"/>
  <c r="F169" i="1"/>
  <c r="F170" i="1"/>
  <c r="F171" i="1"/>
  <c r="I162" i="1"/>
  <c r="I163" i="1"/>
  <c r="I164" i="1"/>
  <c r="I165" i="1"/>
  <c r="I166" i="1"/>
  <c r="I167" i="1"/>
  <c r="I168" i="1"/>
  <c r="I169" i="1"/>
  <c r="I170" i="1"/>
  <c r="I171" i="1"/>
  <c r="N162" i="1"/>
  <c r="N163" i="1"/>
  <c r="N164" i="1"/>
  <c r="N165" i="1"/>
  <c r="N166" i="1"/>
  <c r="N167" i="1"/>
  <c r="N168" i="1"/>
  <c r="N169" i="1"/>
  <c r="N170" i="1"/>
  <c r="N171" i="1"/>
  <c r="O162" i="1"/>
  <c r="O163" i="1"/>
  <c r="O164" i="1"/>
  <c r="O165" i="1"/>
  <c r="O166" i="1"/>
  <c r="O167" i="1"/>
  <c r="O168" i="1"/>
  <c r="O169" i="1"/>
  <c r="O170" i="1"/>
  <c r="O171" i="1"/>
  <c r="N11" i="3"/>
  <c r="N345" i="3" l="1"/>
  <c r="N282" i="3"/>
  <c r="N29" i="3"/>
  <c r="N47" i="3"/>
  <c r="N302" i="3"/>
  <c r="N147" i="3"/>
  <c r="O153" i="1"/>
  <c r="E117" i="3" l="1"/>
  <c r="F117" i="3" s="1"/>
  <c r="G117" i="3" s="1"/>
  <c r="K117" i="3" s="1"/>
  <c r="M117" i="3" s="1"/>
  <c r="O117" i="3" l="1"/>
  <c r="O148" i="1" l="1"/>
  <c r="O120" i="1"/>
  <c r="O118" i="1"/>
  <c r="O119" i="1"/>
  <c r="O117" i="1"/>
  <c r="O116" i="1"/>
  <c r="O113" i="1"/>
  <c r="O114" i="1"/>
  <c r="O115" i="1"/>
  <c r="O112" i="1"/>
  <c r="O107" i="1"/>
  <c r="O108" i="1"/>
  <c r="O109" i="1"/>
  <c r="O110" i="1"/>
  <c r="O111" i="1"/>
  <c r="O106" i="1"/>
  <c r="O104" i="1"/>
  <c r="O105" i="1"/>
  <c r="O103" i="1"/>
  <c r="O100" i="1"/>
  <c r="O101" i="1"/>
  <c r="O102" i="1"/>
  <c r="O99" i="1"/>
  <c r="O97" i="1"/>
  <c r="O98" i="1"/>
  <c r="O94" i="1"/>
  <c r="O95" i="1"/>
  <c r="O96" i="1"/>
  <c r="O91" i="1"/>
  <c r="O92" i="1"/>
  <c r="O93" i="1"/>
  <c r="O90" i="1"/>
  <c r="O89" i="1"/>
  <c r="O88" i="1"/>
  <c r="O87" i="1"/>
  <c r="O85" i="1"/>
  <c r="O86" i="1"/>
  <c r="O84" i="1"/>
  <c r="O83" i="1"/>
  <c r="O82" i="1"/>
  <c r="O81" i="1"/>
  <c r="O80" i="1"/>
  <c r="O79" i="1"/>
  <c r="O78" i="1"/>
  <c r="O77" i="1"/>
  <c r="O72" i="1"/>
  <c r="O73" i="1"/>
  <c r="O74" i="1"/>
  <c r="O75" i="1"/>
  <c r="O76" i="1"/>
  <c r="O71" i="1"/>
  <c r="O70" i="1"/>
  <c r="O69" i="1"/>
  <c r="O68" i="1"/>
  <c r="O65" i="1"/>
  <c r="O66" i="1"/>
  <c r="O64" i="1"/>
  <c r="O60" i="1"/>
  <c r="O61" i="1"/>
  <c r="O59" i="1"/>
  <c r="O56" i="1"/>
  <c r="O57" i="1"/>
  <c r="O58" i="1"/>
  <c r="O54" i="1"/>
  <c r="O55" i="1"/>
  <c r="O52" i="1"/>
  <c r="O53" i="1"/>
  <c r="O51" i="1"/>
  <c r="O50" i="1"/>
  <c r="O49" i="1"/>
  <c r="O48" i="1"/>
  <c r="O45" i="1"/>
  <c r="O46" i="1"/>
  <c r="O47" i="1"/>
  <c r="O44" i="1"/>
  <c r="O41" i="1"/>
  <c r="O40" i="1"/>
  <c r="O39" i="1"/>
  <c r="O38" i="1"/>
  <c r="O34" i="1"/>
  <c r="O35" i="1"/>
  <c r="O36" i="1"/>
  <c r="O37" i="1"/>
  <c r="O33" i="1"/>
  <c r="O32" i="1"/>
  <c r="O31" i="1"/>
  <c r="O30" i="1"/>
  <c r="O28" i="1"/>
  <c r="O29" i="1"/>
  <c r="O26" i="1"/>
  <c r="O27" i="1"/>
  <c r="O21" i="1"/>
  <c r="O22" i="1"/>
  <c r="O23" i="1"/>
  <c r="O24" i="1"/>
  <c r="O25" i="1"/>
  <c r="O20" i="1"/>
  <c r="O19" i="1"/>
  <c r="O18" i="1"/>
  <c r="O17" i="1"/>
  <c r="O13" i="1"/>
  <c r="O14" i="1"/>
  <c r="O15" i="1"/>
  <c r="O16" i="1"/>
  <c r="O12" i="1"/>
  <c r="O10" i="1"/>
  <c r="O11" i="1"/>
  <c r="O9" i="1"/>
  <c r="O8" i="1"/>
  <c r="O7" i="1"/>
  <c r="O5" i="1"/>
  <c r="O6" i="1"/>
  <c r="O4" i="1"/>
  <c r="O3" i="1"/>
  <c r="O2" i="1"/>
  <c r="O131" i="1"/>
  <c r="O123" i="1"/>
  <c r="O136" i="1"/>
  <c r="O152" i="1"/>
  <c r="O150" i="1"/>
  <c r="O137" i="1"/>
  <c r="O147" i="1"/>
  <c r="O149" i="1"/>
  <c r="O134" i="1"/>
  <c r="O145" i="1"/>
  <c r="O140" i="1"/>
  <c r="O146" i="1"/>
  <c r="O138" i="1"/>
  <c r="O151" i="1"/>
  <c r="O133" i="1"/>
  <c r="O139" i="1"/>
  <c r="F139" i="1" l="1"/>
  <c r="N116" i="3" s="1"/>
  <c r="F153" i="1"/>
  <c r="F154" i="1"/>
  <c r="N17" i="3" s="1"/>
  <c r="F155" i="1"/>
  <c r="F156" i="1"/>
  <c r="N292" i="3" s="1"/>
  <c r="F158" i="1"/>
  <c r="F159" i="1"/>
  <c r="F160" i="1"/>
  <c r="F161" i="1"/>
  <c r="E368" i="3"/>
  <c r="N305" i="3" l="1"/>
  <c r="N148" i="3"/>
  <c r="N127" i="3"/>
  <c r="N366" i="3"/>
  <c r="N186" i="3"/>
  <c r="N15" i="3"/>
  <c r="N139" i="3"/>
  <c r="E259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F364" i="3" l="1"/>
  <c r="G364" i="3" s="1"/>
  <c r="K364" i="3" s="1"/>
  <c r="M364" i="3" s="1"/>
  <c r="O364" i="3" s="1"/>
  <c r="F317" i="3"/>
  <c r="G317" i="3" s="1"/>
  <c r="K317" i="3" s="1"/>
  <c r="M317" i="3" s="1"/>
  <c r="F377" i="3"/>
  <c r="G377" i="3" s="1"/>
  <c r="K377" i="3" s="1"/>
  <c r="M377" i="3" s="1"/>
  <c r="O377" i="3" s="1"/>
  <c r="F329" i="3"/>
  <c r="G329" i="3" s="1"/>
  <c r="K329" i="3" s="1"/>
  <c r="M329" i="3" s="1"/>
  <c r="F376" i="3"/>
  <c r="G376" i="3" s="1"/>
  <c r="K376" i="3" s="1"/>
  <c r="M376" i="3" s="1"/>
  <c r="F316" i="3"/>
  <c r="G316" i="3" s="1"/>
  <c r="K316" i="3" s="1"/>
  <c r="M316" i="3" s="1"/>
  <c r="F328" i="3"/>
  <c r="G328" i="3" s="1"/>
  <c r="K328" i="3" s="1"/>
  <c r="M328" i="3" s="1"/>
  <c r="F340" i="3"/>
  <c r="G340" i="3" s="1"/>
  <c r="K340" i="3" s="1"/>
  <c r="M340" i="3" s="1"/>
  <c r="O340" i="3" s="1"/>
  <c r="G382" i="3"/>
  <c r="K382" i="3" s="1"/>
  <c r="M382" i="3" s="1"/>
  <c r="F322" i="3"/>
  <c r="G322" i="3" s="1"/>
  <c r="K322" i="3" s="1"/>
  <c r="M322" i="3" s="1"/>
  <c r="F373" i="3"/>
  <c r="G373" i="3" s="1"/>
  <c r="K373" i="3" s="1"/>
  <c r="M373" i="3" s="1"/>
  <c r="F378" i="3"/>
  <c r="G378" i="3" s="1"/>
  <c r="K378" i="3" s="1"/>
  <c r="M378" i="3" s="1"/>
  <c r="F366" i="3"/>
  <c r="G366" i="3" s="1"/>
  <c r="K366" i="3" s="1"/>
  <c r="M366" i="3" s="1"/>
  <c r="O366" i="3" s="1"/>
  <c r="F357" i="3"/>
  <c r="G357" i="3" s="1"/>
  <c r="K357" i="3" s="1"/>
  <c r="M357" i="3" s="1"/>
  <c r="O357" i="3" s="1"/>
  <c r="F345" i="3"/>
  <c r="G345" i="3" s="1"/>
  <c r="K345" i="3" s="1"/>
  <c r="M345" i="3" s="1"/>
  <c r="O345" i="3" s="1"/>
  <c r="G379" i="3"/>
  <c r="K379" i="3" s="1"/>
  <c r="M379" i="3" s="1"/>
  <c r="F319" i="3"/>
  <c r="G319" i="3" s="1"/>
  <c r="K319" i="3" s="1"/>
  <c r="M319" i="3" s="1"/>
  <c r="F344" i="3"/>
  <c r="G344" i="3" s="1"/>
  <c r="K344" i="3" s="1"/>
  <c r="M344" i="3" s="1"/>
  <c r="O344" i="3" s="1"/>
  <c r="F358" i="3"/>
  <c r="G358" i="3" s="1"/>
  <c r="K358" i="3" s="1"/>
  <c r="M358" i="3" s="1"/>
  <c r="O358" i="3" s="1"/>
  <c r="F325" i="3"/>
  <c r="G325" i="3" s="1"/>
  <c r="K325" i="3" s="1"/>
  <c r="M325" i="3" s="1"/>
  <c r="F341" i="3"/>
  <c r="G341" i="3" s="1"/>
  <c r="K341" i="3" s="1"/>
  <c r="M341" i="3" s="1"/>
  <c r="O341" i="3" s="1"/>
  <c r="F324" i="3"/>
  <c r="G324" i="3" s="1"/>
  <c r="K324" i="3" s="1"/>
  <c r="M324" i="3" s="1"/>
  <c r="F348" i="3"/>
  <c r="G348" i="3" s="1"/>
  <c r="K348" i="3" s="1"/>
  <c r="M348" i="3" s="1"/>
  <c r="O348" i="3" s="1"/>
  <c r="F323" i="3"/>
  <c r="G323" i="3" s="1"/>
  <c r="K323" i="3" s="1"/>
  <c r="M323" i="3" s="1"/>
  <c r="F336" i="3"/>
  <c r="G336" i="3" s="1"/>
  <c r="K336" i="3" s="1"/>
  <c r="M336" i="3" s="1"/>
  <c r="O336" i="3" s="1"/>
  <c r="F353" i="3"/>
  <c r="G353" i="3" s="1"/>
  <c r="K353" i="3" s="1"/>
  <c r="M353" i="3" s="1"/>
  <c r="O353" i="3" s="1"/>
  <c r="F342" i="3"/>
  <c r="G342" i="3" s="1"/>
  <c r="K342" i="3" s="1"/>
  <c r="M342" i="3" s="1"/>
  <c r="O342" i="3" s="1"/>
  <c r="F371" i="3"/>
  <c r="G371" i="3" s="1"/>
  <c r="K371" i="3" s="1"/>
  <c r="M371" i="3" s="1"/>
  <c r="F331" i="3"/>
  <c r="G331" i="3" s="1"/>
  <c r="K331" i="3" s="1"/>
  <c r="M331" i="3" s="1"/>
  <c r="F318" i="3"/>
  <c r="G318" i="3" s="1"/>
  <c r="K318" i="3" s="1"/>
  <c r="M318" i="3" s="1"/>
  <c r="F330" i="3"/>
  <c r="G330" i="3" s="1"/>
  <c r="K330" i="3" s="1"/>
  <c r="M330" i="3" s="1"/>
  <c r="F354" i="3"/>
  <c r="G354" i="3" s="1"/>
  <c r="K354" i="3" s="1"/>
  <c r="M354" i="3" s="1"/>
  <c r="O354" i="3" s="1"/>
  <c r="F337" i="3"/>
  <c r="G337" i="3" s="1"/>
  <c r="K337" i="3" s="1"/>
  <c r="M337" i="3" s="1"/>
  <c r="O337" i="3" s="1"/>
  <c r="F360" i="3"/>
  <c r="G360" i="3" s="1"/>
  <c r="K360" i="3" s="1"/>
  <c r="M360" i="3" s="1"/>
  <c r="O360" i="3" s="1"/>
  <c r="F359" i="3"/>
  <c r="G359" i="3" s="1"/>
  <c r="K359" i="3" s="1"/>
  <c r="M359" i="3" s="1"/>
  <c r="O359" i="3" s="1"/>
  <c r="F335" i="3"/>
  <c r="G335" i="3" s="1"/>
  <c r="O335" i="3" s="1"/>
  <c r="F370" i="3"/>
  <c r="G370" i="3" s="1"/>
  <c r="K370" i="3" s="1"/>
  <c r="M370" i="3" s="1"/>
  <c r="F334" i="3"/>
  <c r="G334" i="3" s="1"/>
  <c r="G380" i="3"/>
  <c r="K380" i="3" s="1"/>
  <c r="M380" i="3" s="1"/>
  <c r="G368" i="3"/>
  <c r="M368" i="3" s="1"/>
  <c r="O368" i="3" s="1"/>
  <c r="F356" i="3"/>
  <c r="G356" i="3" s="1"/>
  <c r="K356" i="3" s="1"/>
  <c r="M356" i="3" s="1"/>
  <c r="O356" i="3" s="1"/>
  <c r="F332" i="3"/>
  <c r="G332" i="3" s="1"/>
  <c r="K332" i="3" s="1"/>
  <c r="M332" i="3" s="1"/>
  <c r="F320" i="3"/>
  <c r="G320" i="3" s="1"/>
  <c r="K320" i="3" s="1"/>
  <c r="M320" i="3" s="1"/>
  <c r="F367" i="3"/>
  <c r="G367" i="3" s="1"/>
  <c r="K367" i="3" s="1"/>
  <c r="M367" i="3" s="1"/>
  <c r="F369" i="3"/>
  <c r="G369" i="3" s="1"/>
  <c r="K369" i="3" s="1"/>
  <c r="M369" i="3" s="1"/>
  <c r="F355" i="3"/>
  <c r="G355" i="3" s="1"/>
  <c r="K355" i="3" s="1"/>
  <c r="M355" i="3" s="1"/>
  <c r="F365" i="3"/>
  <c r="G365" i="3" s="1"/>
  <c r="K365" i="3" s="1"/>
  <c r="M365" i="3" s="1"/>
  <c r="F349" i="3"/>
  <c r="G349" i="3" s="1"/>
  <c r="K349" i="3" s="1"/>
  <c r="M349" i="3" s="1"/>
  <c r="O349" i="3" s="1"/>
  <c r="F375" i="3"/>
  <c r="G375" i="3" s="1"/>
  <c r="K375" i="3" s="1"/>
  <c r="M375" i="3" s="1"/>
  <c r="F363" i="3"/>
  <c r="G363" i="3" s="1"/>
  <c r="K363" i="3" s="1"/>
  <c r="M363" i="3" s="1"/>
  <c r="O363" i="3" s="1"/>
  <c r="F351" i="3"/>
  <c r="G351" i="3" s="1"/>
  <c r="K351" i="3" s="1"/>
  <c r="M351" i="3" s="1"/>
  <c r="F339" i="3"/>
  <c r="G339" i="3" s="1"/>
  <c r="K339" i="3" s="1"/>
  <c r="M339" i="3" s="1"/>
  <c r="F315" i="3"/>
  <c r="G315" i="3" s="1"/>
  <c r="K315" i="3" s="1"/>
  <c r="M315" i="3" s="1"/>
  <c r="F372" i="3"/>
  <c r="G372" i="3" s="1"/>
  <c r="K372" i="3" s="1"/>
  <c r="M372" i="3" s="1"/>
  <c r="O372" i="3" s="1"/>
  <c r="F347" i="3"/>
  <c r="G347" i="3" s="1"/>
  <c r="K347" i="3" s="1"/>
  <c r="M347" i="3" s="1"/>
  <c r="O347" i="3" s="1"/>
  <c r="F346" i="3"/>
  <c r="G346" i="3" s="1"/>
  <c r="K346" i="3" s="1"/>
  <c r="M346" i="3" s="1"/>
  <c r="O346" i="3" s="1"/>
  <c r="F361" i="3"/>
  <c r="G361" i="3" s="1"/>
  <c r="K361" i="3" s="1"/>
  <c r="M361" i="3" s="1"/>
  <c r="O361" i="3" s="1"/>
  <c r="F352" i="3"/>
  <c r="G352" i="3" s="1"/>
  <c r="K352" i="3" s="1"/>
  <c r="M352" i="3" s="1"/>
  <c r="O352" i="3" s="1"/>
  <c r="F343" i="3"/>
  <c r="G343" i="3" s="1"/>
  <c r="K343" i="3" s="1"/>
  <c r="M343" i="3" s="1"/>
  <c r="O343" i="3" s="1"/>
  <c r="F327" i="3"/>
  <c r="G327" i="3" s="1"/>
  <c r="K327" i="3" s="1"/>
  <c r="M327" i="3" s="1"/>
  <c r="F326" i="3"/>
  <c r="G326" i="3" s="1"/>
  <c r="K326" i="3" s="1"/>
  <c r="M326" i="3" s="1"/>
  <c r="F338" i="3"/>
  <c r="G338" i="3" s="1"/>
  <c r="K338" i="3" s="1"/>
  <c r="M338" i="3" s="1"/>
  <c r="O338" i="3" s="1"/>
  <c r="F350" i="3"/>
  <c r="G350" i="3" s="1"/>
  <c r="K350" i="3" s="1"/>
  <c r="M350" i="3" s="1"/>
  <c r="O350" i="3" s="1"/>
  <c r="G381" i="3"/>
  <c r="K381" i="3" s="1"/>
  <c r="M381" i="3" s="1"/>
  <c r="F374" i="3"/>
  <c r="G374" i="3" s="1"/>
  <c r="K374" i="3" s="1"/>
  <c r="M374" i="3" s="1"/>
  <c r="F333" i="3"/>
  <c r="G333" i="3" s="1"/>
  <c r="O333" i="3" s="1"/>
  <c r="F362" i="3"/>
  <c r="G362" i="3" s="1"/>
  <c r="K362" i="3" s="1"/>
  <c r="M362" i="3" s="1"/>
  <c r="O362" i="3" s="1"/>
  <c r="F321" i="3"/>
  <c r="G321" i="3" s="1"/>
  <c r="K321" i="3" s="1"/>
  <c r="M321" i="3" s="1"/>
  <c r="F314" i="3"/>
  <c r="G314" i="3" s="1"/>
  <c r="K314" i="3" s="1"/>
  <c r="M314" i="3" s="1"/>
  <c r="O321" i="3" l="1"/>
  <c r="O324" i="3"/>
  <c r="O323" i="3"/>
  <c r="O322" i="3"/>
  <c r="O330" i="3"/>
  <c r="O325" i="3"/>
  <c r="O320" i="3"/>
  <c r="O329" i="3"/>
  <c r="O314" i="3"/>
  <c r="O316" i="3"/>
  <c r="O315" i="3"/>
  <c r="O331" i="3"/>
  <c r="O319" i="3"/>
  <c r="E4" i="3"/>
  <c r="F4" i="3" s="1"/>
  <c r="E5" i="3"/>
  <c r="F5" i="3" s="1"/>
  <c r="F6" i="3"/>
  <c r="F7" i="3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F16" i="3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F27" i="3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F56" i="3"/>
  <c r="E57" i="3"/>
  <c r="F57" i="3" s="1"/>
  <c r="E58" i="3"/>
  <c r="F58" i="3" s="1"/>
  <c r="E59" i="3"/>
  <c r="F59" i="3" s="1"/>
  <c r="E60" i="3"/>
  <c r="F60" i="3" s="1"/>
  <c r="F61" i="3"/>
  <c r="E62" i="3"/>
  <c r="F62" i="3" s="1"/>
  <c r="E63" i="3"/>
  <c r="F63" i="3" s="1"/>
  <c r="E64" i="3"/>
  <c r="F64" i="3" s="1"/>
  <c r="E65" i="3"/>
  <c r="F65" i="3" s="1"/>
  <c r="E66" i="3"/>
  <c r="F66" i="3" s="1"/>
  <c r="F67" i="3"/>
  <c r="E68" i="3"/>
  <c r="F68" i="3" s="1"/>
  <c r="F69" i="3"/>
  <c r="E70" i="3"/>
  <c r="F70" i="3" s="1"/>
  <c r="E71" i="3"/>
  <c r="F71" i="3" s="1"/>
  <c r="E72" i="3"/>
  <c r="F72" i="3" s="1"/>
  <c r="E73" i="3"/>
  <c r="F73" i="3" s="1"/>
  <c r="F74" i="3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F97" i="3"/>
  <c r="F98" i="3"/>
  <c r="E99" i="3"/>
  <c r="F99" i="3" s="1"/>
  <c r="E100" i="3"/>
  <c r="F100" i="3" s="1"/>
  <c r="E101" i="3"/>
  <c r="F101" i="3" s="1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F114" i="3" s="1"/>
  <c r="F115" i="3"/>
  <c r="E116" i="3"/>
  <c r="F116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E125" i="3"/>
  <c r="F125" i="3" s="1"/>
  <c r="E126" i="3"/>
  <c r="F126" i="3" s="1"/>
  <c r="E127" i="3"/>
  <c r="F127" i="3" s="1"/>
  <c r="F128" i="3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F135" i="3"/>
  <c r="E136" i="3"/>
  <c r="F136" i="3" s="1"/>
  <c r="E137" i="3"/>
  <c r="F137" i="3" s="1"/>
  <c r="E138" i="3"/>
  <c r="F138" i="3" s="1"/>
  <c r="E139" i="3"/>
  <c r="F139" i="3" s="1"/>
  <c r="E140" i="3"/>
  <c r="F140" i="3" s="1"/>
  <c r="F141" i="3"/>
  <c r="F142" i="3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F149" i="3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F162" i="3"/>
  <c r="E163" i="3"/>
  <c r="F163" i="3" s="1"/>
  <c r="F164" i="3"/>
  <c r="E165" i="3"/>
  <c r="F165" i="3" s="1"/>
  <c r="E166" i="3"/>
  <c r="F166" i="3" s="1"/>
  <c r="F167" i="3"/>
  <c r="F168" i="3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F180" i="3" s="1"/>
  <c r="E181" i="3"/>
  <c r="F181" i="3" s="1"/>
  <c r="E182" i="3"/>
  <c r="F182" i="3" s="1"/>
  <c r="F183" i="3"/>
  <c r="E184" i="3"/>
  <c r="F184" i="3" s="1"/>
  <c r="E185" i="3"/>
  <c r="F185" i="3" s="1"/>
  <c r="F186" i="3"/>
  <c r="E187" i="3"/>
  <c r="F187" i="3" s="1"/>
  <c r="E188" i="3"/>
  <c r="F188" i="3" s="1"/>
  <c r="E189" i="3"/>
  <c r="F189" i="3" s="1"/>
  <c r="E190" i="3"/>
  <c r="F190" i="3" s="1"/>
  <c r="E191" i="3"/>
  <c r="F191" i="3" s="1"/>
  <c r="E192" i="3"/>
  <c r="F192" i="3" s="1"/>
  <c r="E193" i="3"/>
  <c r="F193" i="3" s="1"/>
  <c r="E194" i="3"/>
  <c r="F194" i="3" s="1"/>
  <c r="E195" i="3"/>
  <c r="F195" i="3" s="1"/>
  <c r="E196" i="3"/>
  <c r="F196" i="3" s="1"/>
  <c r="F197" i="3"/>
  <c r="E198" i="3"/>
  <c r="F198" i="3" s="1"/>
  <c r="E199" i="3"/>
  <c r="F199" i="3" s="1"/>
  <c r="E200" i="3"/>
  <c r="F200" i="3" s="1"/>
  <c r="E201" i="3"/>
  <c r="F201" i="3" s="1"/>
  <c r="E202" i="3"/>
  <c r="F202" i="3" s="1"/>
  <c r="F203" i="3"/>
  <c r="E204" i="3"/>
  <c r="F204" i="3" s="1"/>
  <c r="F205" i="3"/>
  <c r="E206" i="3"/>
  <c r="F206" i="3" s="1"/>
  <c r="E207" i="3"/>
  <c r="F207" i="3" s="1"/>
  <c r="E208" i="3"/>
  <c r="F208" i="3" s="1"/>
  <c r="E209" i="3"/>
  <c r="F209" i="3" s="1"/>
  <c r="E210" i="3"/>
  <c r="F210" i="3" s="1"/>
  <c r="E211" i="3"/>
  <c r="F211" i="3" s="1"/>
  <c r="E212" i="3"/>
  <c r="F212" i="3" s="1"/>
  <c r="E213" i="3"/>
  <c r="F213" i="3" s="1"/>
  <c r="F214" i="3"/>
  <c r="E215" i="3"/>
  <c r="F215" i="3" s="1"/>
  <c r="F216" i="3"/>
  <c r="E217" i="3"/>
  <c r="F217" i="3" s="1"/>
  <c r="E218" i="3"/>
  <c r="F218" i="3" s="1"/>
  <c r="E219" i="3"/>
  <c r="F219" i="3" s="1"/>
  <c r="E220" i="3"/>
  <c r="F220" i="3" s="1"/>
  <c r="E221" i="3"/>
  <c r="F221" i="3" s="1"/>
  <c r="E222" i="3"/>
  <c r="F222" i="3" s="1"/>
  <c r="E223" i="3"/>
  <c r="F223" i="3" s="1"/>
  <c r="E224" i="3"/>
  <c r="F224" i="3" s="1"/>
  <c r="E225" i="3"/>
  <c r="F225" i="3" s="1"/>
  <c r="E226" i="3"/>
  <c r="F226" i="3" s="1"/>
  <c r="F227" i="3"/>
  <c r="E228" i="3"/>
  <c r="F228" i="3" s="1"/>
  <c r="E229" i="3"/>
  <c r="F229" i="3" s="1"/>
  <c r="F230" i="3"/>
  <c r="E231" i="3"/>
  <c r="F231" i="3" s="1"/>
  <c r="E232" i="3"/>
  <c r="F232" i="3" s="1"/>
  <c r="E233" i="3"/>
  <c r="F233" i="3" s="1"/>
  <c r="E234" i="3"/>
  <c r="F234" i="3" s="1"/>
  <c r="E235" i="3"/>
  <c r="F235" i="3" s="1"/>
  <c r="F236" i="3"/>
  <c r="G236" i="3" s="1"/>
  <c r="E237" i="3"/>
  <c r="F237" i="3" s="1"/>
  <c r="E238" i="3"/>
  <c r="F238" i="3" s="1"/>
  <c r="F239" i="3"/>
  <c r="F240" i="3"/>
  <c r="E241" i="3"/>
  <c r="F241" i="3" s="1"/>
  <c r="E242" i="3"/>
  <c r="F242" i="3" s="1"/>
  <c r="E243" i="3"/>
  <c r="F243" i="3" s="1"/>
  <c r="E244" i="3"/>
  <c r="F244" i="3" s="1"/>
  <c r="E245" i="3"/>
  <c r="F245" i="3" s="1"/>
  <c r="E246" i="3"/>
  <c r="F246" i="3" s="1"/>
  <c r="E247" i="3"/>
  <c r="F247" i="3" s="1"/>
  <c r="E248" i="3"/>
  <c r="F248" i="3" s="1"/>
  <c r="E249" i="3"/>
  <c r="F249" i="3" s="1"/>
  <c r="E250" i="3"/>
  <c r="F250" i="3" s="1"/>
  <c r="E251" i="3"/>
  <c r="F251" i="3" s="1"/>
  <c r="E252" i="3"/>
  <c r="F252" i="3" s="1"/>
  <c r="E253" i="3"/>
  <c r="F253" i="3" s="1"/>
  <c r="E255" i="3"/>
  <c r="F255" i="3" s="1"/>
  <c r="E256" i="3"/>
  <c r="F256" i="3" s="1"/>
  <c r="E257" i="3"/>
  <c r="F257" i="3" s="1"/>
  <c r="E258" i="3"/>
  <c r="F258" i="3" s="1"/>
  <c r="F259" i="3"/>
  <c r="E260" i="3"/>
  <c r="F260" i="3" s="1"/>
  <c r="E261" i="3"/>
  <c r="F261" i="3" s="1"/>
  <c r="E262" i="3"/>
  <c r="F262" i="3" s="1"/>
  <c r="E263" i="3"/>
  <c r="F263" i="3" s="1"/>
  <c r="E264" i="3"/>
  <c r="F264" i="3" s="1"/>
  <c r="F265" i="3"/>
  <c r="F266" i="3"/>
  <c r="G266" i="3" s="1"/>
  <c r="E267" i="3"/>
  <c r="F267" i="3" s="1"/>
  <c r="E268" i="3"/>
  <c r="F268" i="3" s="1"/>
  <c r="E269" i="3"/>
  <c r="F269" i="3" s="1"/>
  <c r="E270" i="3"/>
  <c r="F270" i="3" s="1"/>
  <c r="E271" i="3"/>
  <c r="F271" i="3" s="1"/>
  <c r="E272" i="3"/>
  <c r="F272" i="3" s="1"/>
  <c r="E273" i="3"/>
  <c r="F273" i="3" s="1"/>
  <c r="E274" i="3"/>
  <c r="F274" i="3" s="1"/>
  <c r="E275" i="3"/>
  <c r="F275" i="3" s="1"/>
  <c r="E276" i="3"/>
  <c r="F276" i="3" s="1"/>
  <c r="E277" i="3"/>
  <c r="F277" i="3" s="1"/>
  <c r="F278" i="3"/>
  <c r="E279" i="3"/>
  <c r="F279" i="3" s="1"/>
  <c r="E280" i="3"/>
  <c r="F280" i="3" s="1"/>
  <c r="E281" i="3"/>
  <c r="F281" i="3" s="1"/>
  <c r="E282" i="3"/>
  <c r="F282" i="3" s="1"/>
  <c r="E283" i="3"/>
  <c r="F283" i="3" s="1"/>
  <c r="E284" i="3"/>
  <c r="F284" i="3" s="1"/>
  <c r="E285" i="3"/>
  <c r="F285" i="3" s="1"/>
  <c r="F286" i="3"/>
  <c r="E287" i="3"/>
  <c r="F287" i="3" s="1"/>
  <c r="F288" i="3"/>
  <c r="E289" i="3"/>
  <c r="F289" i="3" s="1"/>
  <c r="E290" i="3"/>
  <c r="F290" i="3" s="1"/>
  <c r="E291" i="3"/>
  <c r="F291" i="3" s="1"/>
  <c r="E292" i="3"/>
  <c r="F292" i="3" s="1"/>
  <c r="E293" i="3"/>
  <c r="F293" i="3" s="1"/>
  <c r="E294" i="3"/>
  <c r="F294" i="3" s="1"/>
  <c r="F295" i="3"/>
  <c r="E296" i="3"/>
  <c r="F296" i="3" s="1"/>
  <c r="E297" i="3"/>
  <c r="F297" i="3" s="1"/>
  <c r="E298" i="3"/>
  <c r="F298" i="3" s="1"/>
  <c r="E299" i="3"/>
  <c r="F299" i="3" s="1"/>
  <c r="E300" i="3"/>
  <c r="F300" i="3" s="1"/>
  <c r="F301" i="3"/>
  <c r="E302" i="3"/>
  <c r="F302" i="3" s="1"/>
  <c r="E303" i="3"/>
  <c r="F303" i="3" s="1"/>
  <c r="F304" i="3"/>
  <c r="E305" i="3"/>
  <c r="F305" i="3" s="1"/>
  <c r="F306" i="3"/>
  <c r="E307" i="3"/>
  <c r="F307" i="3" s="1"/>
  <c r="E308" i="3"/>
  <c r="F308" i="3" s="1"/>
  <c r="E309" i="3"/>
  <c r="F309" i="3" s="1"/>
  <c r="E310" i="3"/>
  <c r="F310" i="3" s="1"/>
  <c r="E311" i="3"/>
  <c r="F311" i="3" s="1"/>
  <c r="E312" i="3"/>
  <c r="F312" i="3" s="1"/>
  <c r="E313" i="3"/>
  <c r="F313" i="3" s="1"/>
  <c r="E3" i="3"/>
  <c r="F3" i="3" s="1"/>
  <c r="G297" i="3" l="1"/>
  <c r="K297" i="3" s="1"/>
  <c r="M297" i="3" s="1"/>
  <c r="G249" i="3"/>
  <c r="K249" i="3" s="1"/>
  <c r="M249" i="3" s="1"/>
  <c r="G201" i="3"/>
  <c r="K201" i="3" s="1"/>
  <c r="M201" i="3" s="1"/>
  <c r="G153" i="3"/>
  <c r="K153" i="3" s="1"/>
  <c r="M153" i="3" s="1"/>
  <c r="G81" i="3"/>
  <c r="K81" i="3" s="1"/>
  <c r="M81" i="3" s="1"/>
  <c r="G309" i="3"/>
  <c r="K309" i="3" s="1"/>
  <c r="M309" i="3" s="1"/>
  <c r="G261" i="3"/>
  <c r="K261" i="3" s="1"/>
  <c r="M261" i="3" s="1"/>
  <c r="G213" i="3"/>
  <c r="K213" i="3" s="1"/>
  <c r="M213" i="3" s="1"/>
  <c r="G165" i="3"/>
  <c r="K165" i="3" s="1"/>
  <c r="M165" i="3" s="1"/>
  <c r="G141" i="3"/>
  <c r="K141" i="3" s="1"/>
  <c r="M141" i="3" s="1"/>
  <c r="G93" i="3"/>
  <c r="K93" i="3" s="1"/>
  <c r="M93" i="3" s="1"/>
  <c r="G57" i="3"/>
  <c r="K57" i="3" s="1"/>
  <c r="M57" i="3" s="1"/>
  <c r="G33" i="3"/>
  <c r="K33" i="3" s="1"/>
  <c r="M33" i="3" s="1"/>
  <c r="O33" i="3" s="1"/>
  <c r="G9" i="3"/>
  <c r="K9" i="3" s="1"/>
  <c r="M9" i="3" s="1"/>
  <c r="G285" i="3"/>
  <c r="K285" i="3" s="1"/>
  <c r="M285" i="3" s="1"/>
  <c r="G237" i="3"/>
  <c r="K237" i="3" s="1"/>
  <c r="M237" i="3" s="1"/>
  <c r="G189" i="3"/>
  <c r="K189" i="3" s="1"/>
  <c r="M189" i="3" s="1"/>
  <c r="G116" i="3"/>
  <c r="K116" i="3" s="1"/>
  <c r="M116" i="3" s="1"/>
  <c r="O116" i="3" s="1"/>
  <c r="G45" i="3"/>
  <c r="K45" i="3" s="1"/>
  <c r="M45" i="3" s="1"/>
  <c r="G273" i="3"/>
  <c r="K273" i="3" s="1"/>
  <c r="M273" i="3" s="1"/>
  <c r="G225" i="3"/>
  <c r="K225" i="3" s="1"/>
  <c r="M225" i="3" s="1"/>
  <c r="G177" i="3"/>
  <c r="K177" i="3" s="1"/>
  <c r="M177" i="3" s="1"/>
  <c r="G129" i="3"/>
  <c r="K129" i="3" s="1"/>
  <c r="M129" i="3" s="1"/>
  <c r="G69" i="3"/>
  <c r="K69" i="3" s="1"/>
  <c r="M69" i="3" s="1"/>
  <c r="G21" i="3"/>
  <c r="K21" i="3" s="1"/>
  <c r="M21" i="3" s="1"/>
  <c r="G67" i="3"/>
  <c r="K67" i="3" s="1"/>
  <c r="M67" i="3" s="1"/>
  <c r="G139" i="3"/>
  <c r="K139" i="3" s="1"/>
  <c r="M139" i="3" s="1"/>
  <c r="G114" i="3"/>
  <c r="K114" i="3" s="1"/>
  <c r="M114" i="3" s="1"/>
  <c r="O114" i="3" s="1"/>
  <c r="G91" i="3"/>
  <c r="K91" i="3" s="1"/>
  <c r="M91" i="3" s="1"/>
  <c r="O91" i="3" s="1"/>
  <c r="G55" i="3"/>
  <c r="K55" i="3" s="1"/>
  <c r="M55" i="3" s="1"/>
  <c r="G31" i="3"/>
  <c r="K31" i="3" s="1"/>
  <c r="M31" i="3" s="1"/>
  <c r="G7" i="3"/>
  <c r="K7" i="3" s="1"/>
  <c r="G151" i="3"/>
  <c r="K151" i="3" s="1"/>
  <c r="M151" i="3" s="1"/>
  <c r="G127" i="3"/>
  <c r="K127" i="3" s="1"/>
  <c r="M127" i="3" s="1"/>
  <c r="G103" i="3"/>
  <c r="K103" i="3" s="1"/>
  <c r="M103" i="3" s="1"/>
  <c r="G79" i="3"/>
  <c r="K79" i="3" s="1"/>
  <c r="M79" i="3" s="1"/>
  <c r="G43" i="3"/>
  <c r="K43" i="3" s="1"/>
  <c r="M43" i="3" s="1"/>
  <c r="G19" i="3"/>
  <c r="K19" i="3" s="1"/>
  <c r="M19" i="3" s="1"/>
  <c r="O19" i="3" s="1"/>
  <c r="G263" i="3"/>
  <c r="K263" i="3" s="1"/>
  <c r="M263" i="3" s="1"/>
  <c r="G167" i="3"/>
  <c r="K167" i="3" s="1"/>
  <c r="M167" i="3" s="1"/>
  <c r="G310" i="3"/>
  <c r="K310" i="3" s="1"/>
  <c r="M310" i="3" s="1"/>
  <c r="G298" i="3"/>
  <c r="K298" i="3" s="1"/>
  <c r="M298" i="3" s="1"/>
  <c r="G286" i="3"/>
  <c r="K286" i="3" s="1"/>
  <c r="M286" i="3" s="1"/>
  <c r="G274" i="3"/>
  <c r="K274" i="3" s="1"/>
  <c r="M274" i="3" s="1"/>
  <c r="G262" i="3"/>
  <c r="K262" i="3" s="1"/>
  <c r="M262" i="3" s="1"/>
  <c r="G250" i="3"/>
  <c r="K250" i="3" s="1"/>
  <c r="M250" i="3" s="1"/>
  <c r="G238" i="3"/>
  <c r="K238" i="3" s="1"/>
  <c r="M238" i="3" s="1"/>
  <c r="G226" i="3"/>
  <c r="K226" i="3" s="1"/>
  <c r="M226" i="3" s="1"/>
  <c r="G214" i="3"/>
  <c r="K214" i="3" s="1"/>
  <c r="M214" i="3" s="1"/>
  <c r="G202" i="3"/>
  <c r="K202" i="3" s="1"/>
  <c r="M202" i="3" s="1"/>
  <c r="G190" i="3"/>
  <c r="K190" i="3" s="1"/>
  <c r="M190" i="3" s="1"/>
  <c r="G178" i="3"/>
  <c r="K178" i="3" s="1"/>
  <c r="M178" i="3" s="1"/>
  <c r="G166" i="3"/>
  <c r="K166" i="3" s="1"/>
  <c r="M166" i="3" s="1"/>
  <c r="G154" i="3"/>
  <c r="K154" i="3" s="1"/>
  <c r="M154" i="3" s="1"/>
  <c r="G142" i="3"/>
  <c r="K142" i="3" s="1"/>
  <c r="M142" i="3" s="1"/>
  <c r="G130" i="3"/>
  <c r="K130" i="3" s="1"/>
  <c r="M130" i="3" s="1"/>
  <c r="G118" i="3"/>
  <c r="K118" i="3" s="1"/>
  <c r="M118" i="3" s="1"/>
  <c r="G105" i="3"/>
  <c r="K105" i="3" s="1"/>
  <c r="M105" i="3" s="1"/>
  <c r="O105" i="3" s="1"/>
  <c r="G94" i="3"/>
  <c r="K94" i="3" s="1"/>
  <c r="M94" i="3" s="1"/>
  <c r="G82" i="3"/>
  <c r="K82" i="3" s="1"/>
  <c r="M82" i="3" s="1"/>
  <c r="O82" i="3" s="1"/>
  <c r="G70" i="3"/>
  <c r="K70" i="3" s="1"/>
  <c r="M70" i="3" s="1"/>
  <c r="G58" i="3"/>
  <c r="K58" i="3" s="1"/>
  <c r="M58" i="3" s="1"/>
  <c r="G46" i="3"/>
  <c r="K46" i="3" s="1"/>
  <c r="M46" i="3" s="1"/>
  <c r="G34" i="3"/>
  <c r="K34" i="3" s="1"/>
  <c r="M34" i="3" s="1"/>
  <c r="G22" i="3"/>
  <c r="K22" i="3" s="1"/>
  <c r="M22" i="3" s="1"/>
  <c r="G10" i="3"/>
  <c r="K10" i="3" s="1"/>
  <c r="M10" i="3" s="1"/>
  <c r="G308" i="3"/>
  <c r="K308" i="3" s="1"/>
  <c r="M308" i="3" s="1"/>
  <c r="G296" i="3"/>
  <c r="K296" i="3" s="1"/>
  <c r="M296" i="3" s="1"/>
  <c r="G284" i="3"/>
  <c r="K284" i="3" s="1"/>
  <c r="M284" i="3" s="1"/>
  <c r="G272" i="3"/>
  <c r="K272" i="3" s="1"/>
  <c r="M272" i="3" s="1"/>
  <c r="G260" i="3"/>
  <c r="K260" i="3" s="1"/>
  <c r="M260" i="3" s="1"/>
  <c r="G248" i="3"/>
  <c r="K248" i="3" s="1"/>
  <c r="M248" i="3" s="1"/>
  <c r="K236" i="3"/>
  <c r="M236" i="3" s="1"/>
  <c r="G224" i="3"/>
  <c r="K224" i="3" s="1"/>
  <c r="M224" i="3" s="1"/>
  <c r="G212" i="3"/>
  <c r="K212" i="3" s="1"/>
  <c r="M212" i="3" s="1"/>
  <c r="G200" i="3"/>
  <c r="K200" i="3" s="1"/>
  <c r="M200" i="3" s="1"/>
  <c r="G188" i="3"/>
  <c r="K188" i="3" s="1"/>
  <c r="M188" i="3" s="1"/>
  <c r="G176" i="3"/>
  <c r="K176" i="3" s="1"/>
  <c r="M176" i="3" s="1"/>
  <c r="G164" i="3"/>
  <c r="K164" i="3" s="1"/>
  <c r="M164" i="3" s="1"/>
  <c r="G152" i="3"/>
  <c r="K152" i="3" s="1"/>
  <c r="M152" i="3" s="1"/>
  <c r="G140" i="3"/>
  <c r="K140" i="3" s="1"/>
  <c r="M140" i="3" s="1"/>
  <c r="G128" i="3"/>
  <c r="K128" i="3" s="1"/>
  <c r="M128" i="3" s="1"/>
  <c r="G115" i="3"/>
  <c r="K115" i="3" s="1"/>
  <c r="G104" i="3"/>
  <c r="K104" i="3" s="1"/>
  <c r="M104" i="3" s="1"/>
  <c r="G92" i="3"/>
  <c r="K92" i="3" s="1"/>
  <c r="M92" i="3" s="1"/>
  <c r="O92" i="3" s="1"/>
  <c r="G80" i="3"/>
  <c r="K80" i="3" s="1"/>
  <c r="M80" i="3" s="1"/>
  <c r="G68" i="3"/>
  <c r="K68" i="3" s="1"/>
  <c r="M68" i="3" s="1"/>
  <c r="G56" i="3"/>
  <c r="K56" i="3" s="1"/>
  <c r="M56" i="3" s="1"/>
  <c r="G44" i="3"/>
  <c r="K44" i="3" s="1"/>
  <c r="M44" i="3" s="1"/>
  <c r="G32" i="3"/>
  <c r="K32" i="3" s="1"/>
  <c r="M32" i="3" s="1"/>
  <c r="G20" i="3"/>
  <c r="K20" i="3" s="1"/>
  <c r="M20" i="3" s="1"/>
  <c r="O20" i="3" s="1"/>
  <c r="G8" i="3"/>
  <c r="K8" i="3" s="1"/>
  <c r="M8" i="3" s="1"/>
  <c r="G295" i="3"/>
  <c r="K295" i="3" s="1"/>
  <c r="M295" i="3" s="1"/>
  <c r="G271" i="3"/>
  <c r="K271" i="3" s="1"/>
  <c r="M271" i="3" s="1"/>
  <c r="G235" i="3"/>
  <c r="K235" i="3" s="1"/>
  <c r="M235" i="3" s="1"/>
  <c r="G199" i="3"/>
  <c r="K199" i="3" s="1"/>
  <c r="M199" i="3" s="1"/>
  <c r="G163" i="3"/>
  <c r="K163" i="3" s="1"/>
  <c r="M163" i="3" s="1"/>
  <c r="G307" i="3"/>
  <c r="K307" i="3" s="1"/>
  <c r="M307" i="3" s="1"/>
  <c r="G259" i="3"/>
  <c r="K259" i="3" s="1"/>
  <c r="M259" i="3" s="1"/>
  <c r="G223" i="3"/>
  <c r="K223" i="3" s="1"/>
  <c r="M223" i="3" s="1"/>
  <c r="G175" i="3"/>
  <c r="K175" i="3" s="1"/>
  <c r="M175" i="3" s="1"/>
  <c r="G283" i="3"/>
  <c r="K283" i="3" s="1"/>
  <c r="M283" i="3" s="1"/>
  <c r="G247" i="3"/>
  <c r="K247" i="3" s="1"/>
  <c r="M247" i="3" s="1"/>
  <c r="G211" i="3"/>
  <c r="K211" i="3" s="1"/>
  <c r="M211" i="3" s="1"/>
  <c r="G187" i="3"/>
  <c r="K187" i="3" s="1"/>
  <c r="M187" i="3" s="1"/>
  <c r="G222" i="3"/>
  <c r="K222" i="3" s="1"/>
  <c r="M222" i="3" s="1"/>
  <c r="G90" i="3"/>
  <c r="K90" i="3" s="1"/>
  <c r="M90" i="3" s="1"/>
  <c r="O90" i="3" s="1"/>
  <c r="G306" i="3"/>
  <c r="K306" i="3" s="1"/>
  <c r="M306" i="3" s="1"/>
  <c r="G270" i="3"/>
  <c r="K270" i="3" s="1"/>
  <c r="M270" i="3" s="1"/>
  <c r="G246" i="3"/>
  <c r="K246" i="3" s="1"/>
  <c r="M246" i="3" s="1"/>
  <c r="G210" i="3"/>
  <c r="K210" i="3" s="1"/>
  <c r="M210" i="3" s="1"/>
  <c r="G186" i="3"/>
  <c r="K186" i="3" s="1"/>
  <c r="M186" i="3" s="1"/>
  <c r="G150" i="3"/>
  <c r="K150" i="3" s="1"/>
  <c r="M150" i="3" s="1"/>
  <c r="G138" i="3"/>
  <c r="K138" i="3" s="1"/>
  <c r="M138" i="3" s="1"/>
  <c r="G113" i="3"/>
  <c r="K113" i="3" s="1"/>
  <c r="M113" i="3" s="1"/>
  <c r="G102" i="3"/>
  <c r="K102" i="3" s="1"/>
  <c r="M102" i="3" s="1"/>
  <c r="G66" i="3"/>
  <c r="K66" i="3" s="1"/>
  <c r="M66" i="3" s="1"/>
  <c r="G54" i="3"/>
  <c r="K54" i="3" s="1"/>
  <c r="M54" i="3" s="1"/>
  <c r="O54" i="3" s="1"/>
  <c r="G42" i="3"/>
  <c r="K42" i="3" s="1"/>
  <c r="M42" i="3" s="1"/>
  <c r="O42" i="3" s="1"/>
  <c r="G18" i="3"/>
  <c r="K18" i="3" s="1"/>
  <c r="M18" i="3" s="1"/>
  <c r="G6" i="3"/>
  <c r="K6" i="3" s="1"/>
  <c r="M6" i="3" s="1"/>
  <c r="G305" i="3"/>
  <c r="K305" i="3" s="1"/>
  <c r="M305" i="3" s="1"/>
  <c r="G281" i="3"/>
  <c r="K281" i="3" s="1"/>
  <c r="M281" i="3" s="1"/>
  <c r="G245" i="3"/>
  <c r="K245" i="3" s="1"/>
  <c r="M245" i="3" s="1"/>
  <c r="G221" i="3"/>
  <c r="K221" i="3" s="1"/>
  <c r="M221" i="3" s="1"/>
  <c r="G209" i="3"/>
  <c r="K209" i="3" s="1"/>
  <c r="M209" i="3" s="1"/>
  <c r="G173" i="3"/>
  <c r="K173" i="3" s="1"/>
  <c r="M173" i="3" s="1"/>
  <c r="G149" i="3"/>
  <c r="K149" i="3" s="1"/>
  <c r="M149" i="3" s="1"/>
  <c r="G137" i="3"/>
  <c r="K137" i="3" s="1"/>
  <c r="M137" i="3" s="1"/>
  <c r="G112" i="3"/>
  <c r="K112" i="3" s="1"/>
  <c r="M112" i="3" s="1"/>
  <c r="G101" i="3"/>
  <c r="K101" i="3" s="1"/>
  <c r="M101" i="3" s="1"/>
  <c r="O101" i="3" s="1"/>
  <c r="G89" i="3"/>
  <c r="K89" i="3" s="1"/>
  <c r="M89" i="3" s="1"/>
  <c r="G77" i="3"/>
  <c r="K77" i="3" s="1"/>
  <c r="M77" i="3" s="1"/>
  <c r="G65" i="3"/>
  <c r="K65" i="3" s="1"/>
  <c r="M65" i="3" s="1"/>
  <c r="G53" i="3"/>
  <c r="K53" i="3" s="1"/>
  <c r="M53" i="3" s="1"/>
  <c r="G41" i="3"/>
  <c r="K41" i="3" s="1"/>
  <c r="M41" i="3" s="1"/>
  <c r="G29" i="3"/>
  <c r="K29" i="3" s="1"/>
  <c r="M29" i="3" s="1"/>
  <c r="O29" i="3" s="1"/>
  <c r="G17" i="3"/>
  <c r="K17" i="3" s="1"/>
  <c r="M17" i="3" s="1"/>
  <c r="O17" i="3" s="1"/>
  <c r="G5" i="3"/>
  <c r="K5" i="3" s="1"/>
  <c r="M5" i="3" s="1"/>
  <c r="O5" i="3" s="1"/>
  <c r="G282" i="3"/>
  <c r="K282" i="3" s="1"/>
  <c r="M282" i="3" s="1"/>
  <c r="G198" i="3"/>
  <c r="K198" i="3" s="1"/>
  <c r="M198" i="3" s="1"/>
  <c r="G269" i="3"/>
  <c r="K269" i="3" s="1"/>
  <c r="M269" i="3" s="1"/>
  <c r="G185" i="3"/>
  <c r="K185" i="3" s="1"/>
  <c r="M185" i="3" s="1"/>
  <c r="G292" i="3"/>
  <c r="K292" i="3" s="1"/>
  <c r="M292" i="3" s="1"/>
  <c r="G256" i="3"/>
  <c r="K256" i="3" s="1"/>
  <c r="M256" i="3" s="1"/>
  <c r="G220" i="3"/>
  <c r="K220" i="3" s="1"/>
  <c r="M220" i="3" s="1"/>
  <c r="G160" i="3"/>
  <c r="K160" i="3" s="1"/>
  <c r="M160" i="3" s="1"/>
  <c r="G28" i="3"/>
  <c r="K28" i="3" s="1"/>
  <c r="M28" i="3" s="1"/>
  <c r="G294" i="3"/>
  <c r="K294" i="3" s="1"/>
  <c r="M294" i="3" s="1"/>
  <c r="G234" i="3"/>
  <c r="K234" i="3" s="1"/>
  <c r="M234" i="3" s="1"/>
  <c r="G174" i="3"/>
  <c r="K174" i="3" s="1"/>
  <c r="M174" i="3" s="1"/>
  <c r="G126" i="3"/>
  <c r="K126" i="3" s="1"/>
  <c r="M126" i="3" s="1"/>
  <c r="G78" i="3"/>
  <c r="K78" i="3" s="1"/>
  <c r="M78" i="3" s="1"/>
  <c r="O78" i="3" s="1"/>
  <c r="G30" i="3"/>
  <c r="K30" i="3" s="1"/>
  <c r="M30" i="3" s="1"/>
  <c r="G293" i="3"/>
  <c r="K293" i="3" s="1"/>
  <c r="M293" i="3" s="1"/>
  <c r="G233" i="3"/>
  <c r="K233" i="3" s="1"/>
  <c r="M233" i="3" s="1"/>
  <c r="G161" i="3"/>
  <c r="K161" i="3" s="1"/>
  <c r="M161" i="3" s="1"/>
  <c r="G304" i="3"/>
  <c r="K304" i="3" s="1"/>
  <c r="M304" i="3" s="1"/>
  <c r="G268" i="3"/>
  <c r="K268" i="3" s="1"/>
  <c r="M268" i="3" s="1"/>
  <c r="G232" i="3"/>
  <c r="K232" i="3" s="1"/>
  <c r="M232" i="3" s="1"/>
  <c r="G196" i="3"/>
  <c r="K196" i="3" s="1"/>
  <c r="M196" i="3" s="1"/>
  <c r="G172" i="3"/>
  <c r="K172" i="3" s="1"/>
  <c r="M172" i="3" s="1"/>
  <c r="G148" i="3"/>
  <c r="K148" i="3" s="1"/>
  <c r="M148" i="3" s="1"/>
  <c r="G124" i="3"/>
  <c r="K124" i="3" s="1"/>
  <c r="M124" i="3" s="1"/>
  <c r="G100" i="3"/>
  <c r="K100" i="3" s="1"/>
  <c r="M100" i="3" s="1"/>
  <c r="O100" i="3" s="1"/>
  <c r="G76" i="3"/>
  <c r="K76" i="3" s="1"/>
  <c r="M76" i="3" s="1"/>
  <c r="G64" i="3"/>
  <c r="K64" i="3" s="1"/>
  <c r="M64" i="3" s="1"/>
  <c r="G40" i="3"/>
  <c r="K40" i="3" s="1"/>
  <c r="M40" i="3" s="1"/>
  <c r="G4" i="3"/>
  <c r="K4" i="3" s="1"/>
  <c r="M4" i="3" s="1"/>
  <c r="O4" i="3" s="1"/>
  <c r="G258" i="3"/>
  <c r="K258" i="3" s="1"/>
  <c r="M258" i="3" s="1"/>
  <c r="G162" i="3"/>
  <c r="K162" i="3" s="1"/>
  <c r="M162" i="3" s="1"/>
  <c r="G257" i="3"/>
  <c r="K257" i="3" s="1"/>
  <c r="M257" i="3" s="1"/>
  <c r="G197" i="3"/>
  <c r="K197" i="3" s="1"/>
  <c r="M197" i="3" s="1"/>
  <c r="G125" i="3"/>
  <c r="K125" i="3" s="1"/>
  <c r="M125" i="3" s="1"/>
  <c r="G280" i="3"/>
  <c r="K280" i="3" s="1"/>
  <c r="M280" i="3" s="1"/>
  <c r="G244" i="3"/>
  <c r="K244" i="3" s="1"/>
  <c r="M244" i="3" s="1"/>
  <c r="G208" i="3"/>
  <c r="K208" i="3" s="1"/>
  <c r="M208" i="3" s="1"/>
  <c r="G184" i="3"/>
  <c r="K184" i="3" s="1"/>
  <c r="M184" i="3" s="1"/>
  <c r="G136" i="3"/>
  <c r="K136" i="3" s="1"/>
  <c r="M136" i="3" s="1"/>
  <c r="G111" i="3"/>
  <c r="K111" i="3" s="1"/>
  <c r="M111" i="3" s="1"/>
  <c r="G88" i="3"/>
  <c r="K88" i="3" s="1"/>
  <c r="M88" i="3" s="1"/>
  <c r="G52" i="3"/>
  <c r="K52" i="3" s="1"/>
  <c r="M52" i="3" s="1"/>
  <c r="O52" i="3" s="1"/>
  <c r="G16" i="3"/>
  <c r="K16" i="3" s="1"/>
  <c r="M16" i="3" s="1"/>
  <c r="G291" i="3"/>
  <c r="K291" i="3" s="1"/>
  <c r="M291" i="3" s="1"/>
  <c r="G255" i="3"/>
  <c r="K255" i="3" s="1"/>
  <c r="M255" i="3" s="1"/>
  <c r="G243" i="3"/>
  <c r="K243" i="3" s="1"/>
  <c r="M243" i="3" s="1"/>
  <c r="G207" i="3"/>
  <c r="K207" i="3" s="1"/>
  <c r="M207" i="3" s="1"/>
  <c r="G195" i="3"/>
  <c r="K195" i="3" s="1"/>
  <c r="M195" i="3" s="1"/>
  <c r="G171" i="3"/>
  <c r="K171" i="3" s="1"/>
  <c r="M171" i="3" s="1"/>
  <c r="G147" i="3"/>
  <c r="K147" i="3" s="1"/>
  <c r="M147" i="3" s="1"/>
  <c r="G110" i="3"/>
  <c r="K110" i="3" s="1"/>
  <c r="M110" i="3" s="1"/>
  <c r="G99" i="3"/>
  <c r="K99" i="3" s="1"/>
  <c r="M99" i="3" s="1"/>
  <c r="O99" i="3" s="1"/>
  <c r="G75" i="3"/>
  <c r="K75" i="3" s="1"/>
  <c r="M75" i="3" s="1"/>
  <c r="G63" i="3"/>
  <c r="K63" i="3" s="1"/>
  <c r="M63" i="3" s="1"/>
  <c r="G39" i="3"/>
  <c r="K39" i="3" s="1"/>
  <c r="M39" i="3" s="1"/>
  <c r="O39" i="3" s="1"/>
  <c r="G27" i="3"/>
  <c r="K27" i="3" s="1"/>
  <c r="M27" i="3" s="1"/>
  <c r="G302" i="3"/>
  <c r="K302" i="3" s="1"/>
  <c r="M302" i="3" s="1"/>
  <c r="G290" i="3"/>
  <c r="K290" i="3" s="1"/>
  <c r="M290" i="3" s="1"/>
  <c r="M254" i="3"/>
  <c r="G242" i="3"/>
  <c r="K242" i="3" s="1"/>
  <c r="M242" i="3" s="1"/>
  <c r="G218" i="3"/>
  <c r="K218" i="3" s="1"/>
  <c r="M218" i="3" s="1"/>
  <c r="G194" i="3"/>
  <c r="K194" i="3" s="1"/>
  <c r="M194" i="3" s="1"/>
  <c r="G182" i="3"/>
  <c r="K182" i="3" s="1"/>
  <c r="M182" i="3" s="1"/>
  <c r="G146" i="3"/>
  <c r="K146" i="3" s="1"/>
  <c r="M146" i="3" s="1"/>
  <c r="G122" i="3"/>
  <c r="K122" i="3" s="1"/>
  <c r="M122" i="3" s="1"/>
  <c r="G86" i="3"/>
  <c r="K86" i="3" s="1"/>
  <c r="M86" i="3" s="1"/>
  <c r="G74" i="3"/>
  <c r="K74" i="3" s="1"/>
  <c r="M74" i="3" s="1"/>
  <c r="O74" i="3" s="1"/>
  <c r="G38" i="3"/>
  <c r="K38" i="3" s="1"/>
  <c r="M38" i="3" s="1"/>
  <c r="G301" i="3"/>
  <c r="K301" i="3" s="1"/>
  <c r="M301" i="3" s="1"/>
  <c r="G277" i="3"/>
  <c r="K277" i="3" s="1"/>
  <c r="M277" i="3" s="1"/>
  <c r="G253" i="3"/>
  <c r="K253" i="3" s="1"/>
  <c r="M253" i="3" s="1"/>
  <c r="G229" i="3"/>
  <c r="K229" i="3" s="1"/>
  <c r="M229" i="3" s="1"/>
  <c r="G217" i="3"/>
  <c r="K217" i="3" s="1"/>
  <c r="M217" i="3" s="1"/>
  <c r="G169" i="3"/>
  <c r="K169" i="3" s="1"/>
  <c r="M169" i="3" s="1"/>
  <c r="G157" i="3"/>
  <c r="K157" i="3" s="1"/>
  <c r="M157" i="3" s="1"/>
  <c r="G133" i="3"/>
  <c r="K133" i="3" s="1"/>
  <c r="M133" i="3" s="1"/>
  <c r="G108" i="3"/>
  <c r="K108" i="3" s="1"/>
  <c r="M108" i="3" s="1"/>
  <c r="G85" i="3"/>
  <c r="K85" i="3" s="1"/>
  <c r="M85" i="3" s="1"/>
  <c r="O85" i="3" s="1"/>
  <c r="G61" i="3"/>
  <c r="K61" i="3" s="1"/>
  <c r="M61" i="3" s="1"/>
  <c r="G25" i="3"/>
  <c r="K25" i="3" s="1"/>
  <c r="M25" i="3" s="1"/>
  <c r="G300" i="3"/>
  <c r="K300" i="3" s="1"/>
  <c r="M300" i="3" s="1"/>
  <c r="G276" i="3"/>
  <c r="K276" i="3" s="1"/>
  <c r="M276" i="3" s="1"/>
  <c r="G252" i="3"/>
  <c r="K252" i="3" s="1"/>
  <c r="M252" i="3" s="1"/>
  <c r="G228" i="3"/>
  <c r="K228" i="3" s="1"/>
  <c r="M228" i="3" s="1"/>
  <c r="G204" i="3"/>
  <c r="K204" i="3" s="1"/>
  <c r="M204" i="3" s="1"/>
  <c r="G180" i="3"/>
  <c r="K180" i="3" s="1"/>
  <c r="M180" i="3" s="1"/>
  <c r="G156" i="3"/>
  <c r="K156" i="3" s="1"/>
  <c r="M156" i="3" s="1"/>
  <c r="G120" i="3"/>
  <c r="K120" i="3" s="1"/>
  <c r="M120" i="3" s="1"/>
  <c r="G107" i="3"/>
  <c r="K107" i="3" s="1"/>
  <c r="M107" i="3" s="1"/>
  <c r="O107" i="3" s="1"/>
  <c r="G72" i="3"/>
  <c r="K72" i="3" s="1"/>
  <c r="M72" i="3" s="1"/>
  <c r="O72" i="3" s="1"/>
  <c r="G48" i="3"/>
  <c r="K48" i="3" s="1"/>
  <c r="M48" i="3" s="1"/>
  <c r="G24" i="3"/>
  <c r="K24" i="3" s="1"/>
  <c r="M24" i="3" s="1"/>
  <c r="G311" i="3"/>
  <c r="K311" i="3" s="1"/>
  <c r="M311" i="3" s="1"/>
  <c r="G299" i="3"/>
  <c r="K299" i="3" s="1"/>
  <c r="M299" i="3" s="1"/>
  <c r="G287" i="3"/>
  <c r="K287" i="3" s="1"/>
  <c r="M287" i="3" s="1"/>
  <c r="G275" i="3"/>
  <c r="K275" i="3" s="1"/>
  <c r="M275" i="3" s="1"/>
  <c r="G251" i="3"/>
  <c r="K251" i="3" s="1"/>
  <c r="M251" i="3" s="1"/>
  <c r="G239" i="3"/>
  <c r="K239" i="3" s="1"/>
  <c r="M239" i="3" s="1"/>
  <c r="O239" i="3" s="1"/>
  <c r="G227" i="3"/>
  <c r="K227" i="3" s="1"/>
  <c r="M227" i="3" s="1"/>
  <c r="G215" i="3"/>
  <c r="K215" i="3" s="1"/>
  <c r="M215" i="3" s="1"/>
  <c r="G203" i="3"/>
  <c r="K203" i="3" s="1"/>
  <c r="M203" i="3" s="1"/>
  <c r="G191" i="3"/>
  <c r="K191" i="3" s="1"/>
  <c r="M191" i="3" s="1"/>
  <c r="G179" i="3"/>
  <c r="K179" i="3" s="1"/>
  <c r="M179" i="3" s="1"/>
  <c r="G155" i="3"/>
  <c r="K155" i="3" s="1"/>
  <c r="M155" i="3" s="1"/>
  <c r="G143" i="3"/>
  <c r="K143" i="3" s="1"/>
  <c r="M143" i="3" s="1"/>
  <c r="G131" i="3"/>
  <c r="K131" i="3" s="1"/>
  <c r="M131" i="3" s="1"/>
  <c r="G119" i="3"/>
  <c r="K119" i="3" s="1"/>
  <c r="M119" i="3" s="1"/>
  <c r="G106" i="3"/>
  <c r="K106" i="3" s="1"/>
  <c r="M106" i="3" s="1"/>
  <c r="G95" i="3"/>
  <c r="K95" i="3" s="1"/>
  <c r="M95" i="3" s="1"/>
  <c r="O95" i="3" s="1"/>
  <c r="G83" i="3"/>
  <c r="K83" i="3" s="1"/>
  <c r="M83" i="3" s="1"/>
  <c r="O83" i="3" s="1"/>
  <c r="G71" i="3"/>
  <c r="K71" i="3" s="1"/>
  <c r="M71" i="3" s="1"/>
  <c r="O71" i="3" s="1"/>
  <c r="G59" i="3"/>
  <c r="K59" i="3" s="1"/>
  <c r="M59" i="3" s="1"/>
  <c r="O59" i="3" s="1"/>
  <c r="G47" i="3"/>
  <c r="K47" i="3" s="1"/>
  <c r="M47" i="3" s="1"/>
  <c r="O47" i="3" s="1"/>
  <c r="G35" i="3"/>
  <c r="K35" i="3" s="1"/>
  <c r="M35" i="3" s="1"/>
  <c r="G23" i="3"/>
  <c r="K23" i="3" s="1"/>
  <c r="M23" i="3" s="1"/>
  <c r="G11" i="3"/>
  <c r="K11" i="3" s="1"/>
  <c r="M11" i="3" s="1"/>
  <c r="G279" i="3"/>
  <c r="K279" i="3" s="1"/>
  <c r="M279" i="3" s="1"/>
  <c r="G159" i="3"/>
  <c r="K159" i="3" s="1"/>
  <c r="M159" i="3" s="1"/>
  <c r="G170" i="3"/>
  <c r="K170" i="3" s="1"/>
  <c r="M170" i="3" s="1"/>
  <c r="G109" i="3"/>
  <c r="K109" i="3" s="1"/>
  <c r="M109" i="3" s="1"/>
  <c r="G50" i="3"/>
  <c r="K50" i="3" s="1"/>
  <c r="M50" i="3" s="1"/>
  <c r="O50" i="3" s="1"/>
  <c r="G265" i="3"/>
  <c r="K265" i="3" s="1"/>
  <c r="M265" i="3" s="1"/>
  <c r="G205" i="3"/>
  <c r="K205" i="3" s="1"/>
  <c r="M205" i="3" s="1"/>
  <c r="G145" i="3"/>
  <c r="K145" i="3" s="1"/>
  <c r="M145" i="3" s="1"/>
  <c r="G97" i="3"/>
  <c r="K97" i="3" s="1"/>
  <c r="M97" i="3" s="1"/>
  <c r="G37" i="3"/>
  <c r="K37" i="3" s="1"/>
  <c r="M37" i="3" s="1"/>
  <c r="G264" i="3"/>
  <c r="K264" i="3" s="1"/>
  <c r="M264" i="3" s="1"/>
  <c r="G192" i="3"/>
  <c r="K192" i="3" s="1"/>
  <c r="M192" i="3" s="1"/>
  <c r="G132" i="3"/>
  <c r="K132" i="3" s="1"/>
  <c r="M132" i="3" s="1"/>
  <c r="G84" i="3"/>
  <c r="K84" i="3" s="1"/>
  <c r="M84" i="3" s="1"/>
  <c r="G36" i="3"/>
  <c r="K36" i="3" s="1"/>
  <c r="M36" i="3" s="1"/>
  <c r="O36" i="3" s="1"/>
  <c r="G12" i="3"/>
  <c r="K12" i="3" s="1"/>
  <c r="M12" i="3" s="1"/>
  <c r="G267" i="3"/>
  <c r="K267" i="3" s="1"/>
  <c r="M267" i="3" s="1"/>
  <c r="G231" i="3"/>
  <c r="K231" i="3" s="1"/>
  <c r="M231" i="3" s="1"/>
  <c r="G183" i="3"/>
  <c r="K183" i="3" s="1"/>
  <c r="M183" i="3" s="1"/>
  <c r="G123" i="3"/>
  <c r="K123" i="3" s="1"/>
  <c r="M123" i="3" s="1"/>
  <c r="G87" i="3"/>
  <c r="K87" i="3" s="1"/>
  <c r="M87" i="3" s="1"/>
  <c r="O87" i="3" s="1"/>
  <c r="G51" i="3"/>
  <c r="K51" i="3" s="1"/>
  <c r="M51" i="3" s="1"/>
  <c r="O51" i="3" s="1"/>
  <c r="G15" i="3"/>
  <c r="K15" i="3" s="1"/>
  <c r="M15" i="3" s="1"/>
  <c r="O15" i="3" s="1"/>
  <c r="G278" i="3"/>
  <c r="K278" i="3" s="1"/>
  <c r="M278" i="3" s="1"/>
  <c r="G230" i="3"/>
  <c r="K230" i="3" s="1"/>
  <c r="M230" i="3" s="1"/>
  <c r="G158" i="3"/>
  <c r="K158" i="3" s="1"/>
  <c r="M158" i="3" s="1"/>
  <c r="G98" i="3"/>
  <c r="K98" i="3" s="1"/>
  <c r="M98" i="3" s="1"/>
  <c r="G62" i="3"/>
  <c r="K62" i="3" s="1"/>
  <c r="M62" i="3" s="1"/>
  <c r="G26" i="3"/>
  <c r="K26" i="3" s="1"/>
  <c r="M26" i="3" s="1"/>
  <c r="O26" i="3" s="1"/>
  <c r="G14" i="3"/>
  <c r="K14" i="3" s="1"/>
  <c r="M14" i="3" s="1"/>
  <c r="G313" i="3"/>
  <c r="K313" i="3" s="1"/>
  <c r="M313" i="3" s="1"/>
  <c r="G241" i="3"/>
  <c r="K241" i="3" s="1"/>
  <c r="M241" i="3" s="1"/>
  <c r="G181" i="3"/>
  <c r="K181" i="3" s="1"/>
  <c r="M181" i="3" s="1"/>
  <c r="G121" i="3"/>
  <c r="K121" i="3" s="1"/>
  <c r="M121" i="3" s="1"/>
  <c r="G73" i="3"/>
  <c r="K73" i="3" s="1"/>
  <c r="M73" i="3" s="1"/>
  <c r="G49" i="3"/>
  <c r="K49" i="3" s="1"/>
  <c r="M49" i="3" s="1"/>
  <c r="O49" i="3" s="1"/>
  <c r="G13" i="3"/>
  <c r="K13" i="3" s="1"/>
  <c r="M13" i="3" s="1"/>
  <c r="G288" i="3"/>
  <c r="K288" i="3" s="1"/>
  <c r="M288" i="3" s="1"/>
  <c r="G216" i="3"/>
  <c r="K216" i="3" s="1"/>
  <c r="M216" i="3" s="1"/>
  <c r="G144" i="3"/>
  <c r="K144" i="3" s="1"/>
  <c r="M144" i="3" s="1"/>
  <c r="G60" i="3"/>
  <c r="K60" i="3" s="1"/>
  <c r="M60" i="3" s="1"/>
  <c r="O60" i="3" s="1"/>
  <c r="G303" i="3"/>
  <c r="K303" i="3" s="1"/>
  <c r="M303" i="3" s="1"/>
  <c r="G219" i="3"/>
  <c r="K219" i="3" s="1"/>
  <c r="M219" i="3" s="1"/>
  <c r="G135" i="3"/>
  <c r="K135" i="3" s="1"/>
  <c r="M135" i="3" s="1"/>
  <c r="G3" i="3"/>
  <c r="K3" i="3" s="1"/>
  <c r="M3" i="3" s="1"/>
  <c r="K266" i="3"/>
  <c r="M266" i="3" s="1"/>
  <c r="G206" i="3"/>
  <c r="K206" i="3" s="1"/>
  <c r="M206" i="3" s="1"/>
  <c r="G134" i="3"/>
  <c r="K134" i="3" s="1"/>
  <c r="M134" i="3" s="1"/>
  <c r="G289" i="3"/>
  <c r="K289" i="3" s="1"/>
  <c r="M289" i="3" s="1"/>
  <c r="G193" i="3"/>
  <c r="K193" i="3" s="1"/>
  <c r="M193" i="3" s="1"/>
  <c r="G312" i="3"/>
  <c r="K312" i="3" s="1"/>
  <c r="M312" i="3" s="1"/>
  <c r="G240" i="3"/>
  <c r="K240" i="3" s="1"/>
  <c r="M240" i="3" s="1"/>
  <c r="G168" i="3"/>
  <c r="K168" i="3" s="1"/>
  <c r="M168" i="3" s="1"/>
  <c r="G96" i="3"/>
  <c r="K96" i="3" s="1"/>
  <c r="M96" i="3" s="1"/>
  <c r="O96" i="3" s="1"/>
  <c r="F123" i="1"/>
  <c r="F136" i="1"/>
  <c r="F152" i="1"/>
  <c r="F150" i="1"/>
  <c r="F137" i="1"/>
  <c r="N327" i="3" s="1"/>
  <c r="F147" i="1"/>
  <c r="F149" i="1"/>
  <c r="F134" i="1"/>
  <c r="F145" i="1"/>
  <c r="F140" i="1"/>
  <c r="F146" i="1"/>
  <c r="F138" i="1"/>
  <c r="F151" i="1"/>
  <c r="F133" i="1"/>
  <c r="N14" i="3" s="1"/>
  <c r="M7" i="3" l="1"/>
  <c r="O7" i="3" s="1"/>
  <c r="N143" i="3"/>
  <c r="O143" i="3" s="1"/>
  <c r="N367" i="3"/>
  <c r="O367" i="3" s="1"/>
  <c r="N68" i="3"/>
  <c r="O68" i="3" s="1"/>
  <c r="N213" i="3"/>
  <c r="O213" i="3" s="1"/>
  <c r="N86" i="3"/>
  <c r="O86" i="3" s="1"/>
  <c r="N334" i="3"/>
  <c r="O334" i="3" s="1"/>
  <c r="N154" i="3"/>
  <c r="O154" i="3" s="1"/>
  <c r="N168" i="3"/>
  <c r="O168" i="3" s="1"/>
  <c r="N294" i="3"/>
  <c r="O294" i="3" s="1"/>
  <c r="N285" i="3"/>
  <c r="O285" i="3" s="1"/>
  <c r="N317" i="3"/>
  <c r="O317" i="3" s="1"/>
  <c r="N206" i="3"/>
  <c r="O206" i="3" s="1"/>
  <c r="N125" i="3"/>
  <c r="O125" i="3" s="1"/>
  <c r="N10" i="3"/>
  <c r="O10" i="3" s="1"/>
  <c r="O327" i="3"/>
  <c r="O14" i="3"/>
  <c r="O253" i="3"/>
  <c r="O174" i="3"/>
  <c r="O193" i="3"/>
  <c r="O288" i="3"/>
  <c r="O131" i="3"/>
  <c r="O299" i="3"/>
  <c r="O277" i="3"/>
  <c r="O290" i="3"/>
  <c r="O243" i="3"/>
  <c r="O172" i="3"/>
  <c r="O283" i="3"/>
  <c r="O176" i="3"/>
  <c r="O298" i="3"/>
  <c r="O261" i="3"/>
  <c r="O183" i="3"/>
  <c r="O293" i="3"/>
  <c r="O235" i="3"/>
  <c r="O265" i="3"/>
  <c r="O194" i="3"/>
  <c r="O250" i="3"/>
  <c r="O229" i="3"/>
  <c r="O273" i="3"/>
  <c r="O170" i="3"/>
  <c r="O207" i="3"/>
  <c r="O173" i="3"/>
  <c r="O132" i="3"/>
  <c r="O255" i="3"/>
  <c r="O196" i="3"/>
  <c r="O221" i="3"/>
  <c r="O150" i="3"/>
  <c r="O175" i="3"/>
  <c r="O309" i="3"/>
  <c r="O231" i="3"/>
  <c r="O180" i="3"/>
  <c r="O184" i="3"/>
  <c r="O177" i="3"/>
  <c r="O295" i="3"/>
  <c r="O284" i="3"/>
  <c r="O141" i="3"/>
  <c r="O240" i="3"/>
  <c r="O275" i="3"/>
  <c r="O124" i="3"/>
  <c r="O282" i="3"/>
  <c r="O296" i="3"/>
  <c r="O312" i="3"/>
  <c r="O119" i="3"/>
  <c r="O148" i="3"/>
  <c r="O247" i="3"/>
  <c r="O142" i="3"/>
  <c r="O279" i="3"/>
  <c r="O302" i="3"/>
  <c r="O278" i="3"/>
  <c r="O257" i="3"/>
  <c r="O186" i="3"/>
  <c r="O200" i="3"/>
  <c r="O178" i="3"/>
  <c r="O264" i="3"/>
  <c r="O162" i="3"/>
  <c r="O160" i="3"/>
  <c r="O281" i="3"/>
  <c r="O259" i="3"/>
  <c r="O190" i="3"/>
  <c r="O139" i="3"/>
  <c r="O153" i="3"/>
  <c r="O205" i="3"/>
  <c r="O238" i="3"/>
  <c r="O147" i="3"/>
  <c r="O271" i="3"/>
  <c r="O127" i="3"/>
  <c r="O251" i="3"/>
  <c r="O218" i="3"/>
  <c r="O187" i="3"/>
  <c r="O151" i="3"/>
  <c r="O126" i="3"/>
  <c r="O211" i="3"/>
  <c r="O216" i="3"/>
  <c r="O287" i="3"/>
  <c r="O286" i="3"/>
  <c r="O300" i="3"/>
  <c r="O232" i="3"/>
  <c r="O266" i="3"/>
  <c r="O305" i="3"/>
  <c r="O224" i="3"/>
  <c r="O202" i="3"/>
  <c r="O181" i="3"/>
  <c r="O161" i="3"/>
  <c r="O256" i="3"/>
  <c r="O270" i="3"/>
  <c r="O236" i="3"/>
  <c r="O214" i="3"/>
  <c r="O249" i="3"/>
  <c r="O313" i="3"/>
  <c r="O136" i="3"/>
  <c r="O185" i="3"/>
  <c r="O260" i="3"/>
  <c r="O303" i="3"/>
  <c r="O169" i="3"/>
  <c r="O269" i="3"/>
  <c r="O198" i="3"/>
  <c r="O118" i="3"/>
  <c r="O225" i="3"/>
  <c r="O144" i="3"/>
  <c r="O228" i="3"/>
  <c r="O152" i="3"/>
  <c r="O165" i="3"/>
  <c r="O289" i="3"/>
  <c r="O230" i="3"/>
  <c r="O301" i="3"/>
  <c r="O134" i="3"/>
  <c r="O223" i="3"/>
  <c r="O237" i="3"/>
  <c r="O258" i="3"/>
  <c r="O135" i="3"/>
  <c r="O241" i="3"/>
  <c r="O145" i="3"/>
  <c r="O215" i="3"/>
  <c r="O120" i="3"/>
  <c r="O146" i="3"/>
  <c r="O233" i="3"/>
  <c r="O292" i="3"/>
  <c r="O306" i="3"/>
  <c r="O297" i="3"/>
  <c r="F131" i="1"/>
  <c r="B123" i="1"/>
  <c r="B136" i="1"/>
  <c r="B152" i="1"/>
  <c r="B150" i="1"/>
  <c r="B137" i="1"/>
  <c r="B147" i="1"/>
  <c r="B149" i="1"/>
  <c r="B134" i="1"/>
  <c r="B145" i="1"/>
  <c r="B140" i="1"/>
  <c r="B146" i="1"/>
  <c r="B138" i="1"/>
  <c r="B151" i="1"/>
  <c r="B133" i="1"/>
  <c r="B139" i="1"/>
  <c r="B153" i="1"/>
  <c r="B154" i="1"/>
  <c r="B155" i="1"/>
  <c r="B156" i="1"/>
  <c r="B157" i="1"/>
  <c r="B158" i="1"/>
  <c r="B159" i="1"/>
  <c r="B160" i="1"/>
  <c r="B161" i="1"/>
  <c r="M115" i="3" l="1"/>
  <c r="O115" i="3" s="1"/>
  <c r="F144" i="1"/>
  <c r="F148" i="1"/>
  <c r="B148" i="1"/>
  <c r="B144" i="1"/>
  <c r="N148" i="1"/>
  <c r="N144" i="1"/>
  <c r="N131" i="1"/>
  <c r="N123" i="1"/>
  <c r="N136" i="1"/>
  <c r="N152" i="1"/>
  <c r="N150" i="1"/>
  <c r="N137" i="1"/>
  <c r="N147" i="1"/>
  <c r="N149" i="1"/>
  <c r="N134" i="1"/>
  <c r="N145" i="1"/>
  <c r="N140" i="1"/>
  <c r="N146" i="1"/>
  <c r="N138" i="1"/>
  <c r="N151" i="1"/>
  <c r="N133" i="1"/>
  <c r="N139" i="1"/>
  <c r="N153" i="1"/>
  <c r="N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I136" i="1"/>
  <c r="I152" i="1"/>
  <c r="I150" i="1"/>
  <c r="I137" i="1"/>
  <c r="I147" i="1"/>
  <c r="I149" i="1"/>
  <c r="I134" i="1"/>
  <c r="I145" i="1"/>
  <c r="I140" i="1"/>
  <c r="I146" i="1"/>
  <c r="I138" i="1"/>
  <c r="I151" i="1"/>
  <c r="I133" i="1"/>
  <c r="I139" i="1"/>
  <c r="I153" i="1"/>
  <c r="I154" i="1"/>
  <c r="I155" i="1"/>
  <c r="I156" i="1"/>
  <c r="I157" i="1"/>
  <c r="I158" i="1"/>
  <c r="I159" i="1"/>
  <c r="I160" i="1"/>
  <c r="I161" i="1"/>
  <c r="I148" i="1"/>
  <c r="I144" i="1"/>
  <c r="I131" i="1"/>
  <c r="I123" i="1"/>
  <c r="I5" i="1"/>
  <c r="I10" i="1"/>
  <c r="I2" i="1"/>
  <c r="I11" i="1"/>
  <c r="I8" i="1"/>
  <c r="I7" i="1"/>
  <c r="I6" i="1"/>
  <c r="I12" i="1"/>
  <c r="I20" i="1"/>
  <c r="I13" i="1"/>
  <c r="I28" i="1"/>
  <c r="I3" i="1"/>
  <c r="I26" i="1"/>
  <c r="I9" i="1"/>
  <c r="I14" i="1"/>
  <c r="I18" i="1"/>
  <c r="I21" i="1"/>
  <c r="I34" i="1"/>
  <c r="I31" i="1"/>
  <c r="I22" i="1"/>
  <c r="I23" i="1"/>
  <c r="I15" i="1"/>
  <c r="I17" i="1"/>
  <c r="I24" i="1"/>
  <c r="I16" i="1"/>
  <c r="I29" i="1"/>
  <c r="I30" i="1"/>
  <c r="I27" i="1"/>
  <c r="I45" i="1"/>
  <c r="I33" i="1"/>
  <c r="I48" i="1"/>
  <c r="I46" i="1"/>
  <c r="I47" i="1"/>
  <c r="I41" i="1"/>
  <c r="I38" i="1"/>
  <c r="I44" i="1"/>
  <c r="I35" i="1"/>
  <c r="I25" i="1"/>
  <c r="I54" i="1"/>
  <c r="I36" i="1"/>
  <c r="I39" i="1"/>
  <c r="I55" i="1"/>
  <c r="I50" i="1"/>
  <c r="I56" i="1"/>
  <c r="I37" i="1"/>
  <c r="I40" i="1"/>
  <c r="I65" i="1"/>
  <c r="I72" i="1"/>
  <c r="I73" i="1"/>
  <c r="I91" i="1"/>
  <c r="I62" i="1"/>
  <c r="I66" i="1"/>
  <c r="I51" i="1"/>
  <c r="I32" i="1"/>
  <c r="I52" i="1"/>
  <c r="I71" i="1"/>
  <c r="I87" i="1"/>
  <c r="I59" i="1"/>
  <c r="I75" i="1"/>
  <c r="I49" i="1"/>
  <c r="I53" i="1"/>
  <c r="I69" i="1"/>
  <c r="I106" i="1"/>
  <c r="I132" i="1"/>
  <c r="I57" i="1"/>
  <c r="I60" i="1"/>
  <c r="I43" i="1"/>
  <c r="I61" i="1"/>
  <c r="I58" i="1"/>
  <c r="I64" i="1"/>
  <c r="I63" i="1"/>
  <c r="I94" i="1"/>
  <c r="I99" i="1"/>
  <c r="I74" i="1"/>
  <c r="I80" i="1"/>
  <c r="I68" i="1"/>
  <c r="I95" i="1"/>
  <c r="I70" i="1"/>
  <c r="I67" i="1"/>
  <c r="I78" i="1"/>
  <c r="I104" i="1"/>
  <c r="I76" i="1"/>
  <c r="I77" i="1"/>
  <c r="I93" i="1"/>
  <c r="I81" i="1"/>
  <c r="I89" i="1"/>
  <c r="I88" i="1"/>
  <c r="I105" i="1"/>
  <c r="I79" i="1"/>
  <c r="I92" i="1"/>
  <c r="I100" i="1"/>
  <c r="I111" i="1"/>
  <c r="I109" i="1"/>
  <c r="I96" i="1"/>
  <c r="I115" i="1"/>
  <c r="I113" i="1"/>
  <c r="I125" i="1"/>
  <c r="I90" i="1"/>
  <c r="I121" i="1"/>
  <c r="I83" i="1"/>
  <c r="I108" i="1"/>
  <c r="I102" i="1"/>
  <c r="I85" i="1"/>
  <c r="I84" i="1"/>
  <c r="I86" i="1"/>
  <c r="I143" i="1"/>
  <c r="I110" i="1"/>
  <c r="I97" i="1"/>
  <c r="I82" i="1"/>
  <c r="I101" i="1"/>
  <c r="I103" i="1"/>
  <c r="I120" i="1"/>
  <c r="I117" i="1"/>
  <c r="I98" i="1"/>
  <c r="I142" i="1"/>
  <c r="I129" i="1"/>
  <c r="I124" i="1"/>
  <c r="I127" i="1"/>
  <c r="I128" i="1"/>
  <c r="I114" i="1"/>
  <c r="I116" i="1"/>
  <c r="I130" i="1"/>
  <c r="I126" i="1"/>
  <c r="I118" i="1"/>
  <c r="I112" i="1"/>
  <c r="I107" i="1"/>
  <c r="I135" i="1"/>
  <c r="I119" i="1"/>
  <c r="I122" i="1"/>
  <c r="I4" i="1"/>
  <c r="O144" i="1"/>
  <c r="O143" i="1"/>
  <c r="O142" i="1"/>
  <c r="O135" i="1"/>
  <c r="O132" i="1"/>
  <c r="O129" i="1"/>
  <c r="O130" i="1"/>
  <c r="O128" i="1"/>
  <c r="O126" i="1"/>
  <c r="O127" i="1"/>
  <c r="O125" i="1"/>
  <c r="O124" i="1"/>
  <c r="O122" i="1"/>
  <c r="O121" i="1"/>
  <c r="N5" i="1"/>
  <c r="N10" i="1"/>
  <c r="N2" i="1"/>
  <c r="N11" i="1"/>
  <c r="N8" i="1"/>
  <c r="N7" i="1"/>
  <c r="N6" i="1"/>
  <c r="N12" i="1"/>
  <c r="N20" i="1"/>
  <c r="N13" i="1"/>
  <c r="N28" i="1"/>
  <c r="N3" i="1"/>
  <c r="N26" i="1"/>
  <c r="N9" i="1"/>
  <c r="N14" i="1"/>
  <c r="N18" i="1"/>
  <c r="N21" i="1"/>
  <c r="N34" i="1"/>
  <c r="N31" i="1"/>
  <c r="N22" i="1"/>
  <c r="N23" i="1"/>
  <c r="N15" i="1"/>
  <c r="N17" i="1"/>
  <c r="N24" i="1"/>
  <c r="N19" i="1"/>
  <c r="N16" i="1"/>
  <c r="N29" i="1"/>
  <c r="N30" i="1"/>
  <c r="N27" i="1"/>
  <c r="N45" i="1"/>
  <c r="N33" i="1"/>
  <c r="N48" i="1"/>
  <c r="N46" i="1"/>
  <c r="N47" i="1"/>
  <c r="N41" i="1"/>
  <c r="N38" i="1"/>
  <c r="N44" i="1"/>
  <c r="N35" i="1"/>
  <c r="N25" i="1"/>
  <c r="N54" i="1"/>
  <c r="N36" i="1"/>
  <c r="N39" i="1"/>
  <c r="N55" i="1"/>
  <c r="N50" i="1"/>
  <c r="N56" i="1"/>
  <c r="N37" i="1"/>
  <c r="N40" i="1"/>
  <c r="N65" i="1"/>
  <c r="N72" i="1"/>
  <c r="N73" i="1"/>
  <c r="N91" i="1"/>
  <c r="N62" i="1"/>
  <c r="N66" i="1"/>
  <c r="N51" i="1"/>
  <c r="N32" i="1"/>
  <c r="N52" i="1"/>
  <c r="N71" i="1"/>
  <c r="N87" i="1"/>
  <c r="N59" i="1"/>
  <c r="N75" i="1"/>
  <c r="N49" i="1"/>
  <c r="N53" i="1"/>
  <c r="N69" i="1"/>
  <c r="N106" i="1"/>
  <c r="N132" i="1"/>
  <c r="N57" i="1"/>
  <c r="N60" i="1"/>
  <c r="N43" i="1"/>
  <c r="N61" i="1"/>
  <c r="N58" i="1"/>
  <c r="N64" i="1"/>
  <c r="N63" i="1"/>
  <c r="N94" i="1"/>
  <c r="N99" i="1"/>
  <c r="N74" i="1"/>
  <c r="N80" i="1"/>
  <c r="N68" i="1"/>
  <c r="N95" i="1"/>
  <c r="N70" i="1"/>
  <c r="N67" i="1"/>
  <c r="N78" i="1"/>
  <c r="N104" i="1"/>
  <c r="N76" i="1"/>
  <c r="N77" i="1"/>
  <c r="N93" i="1"/>
  <c r="N81" i="1"/>
  <c r="N89" i="1"/>
  <c r="N88" i="1"/>
  <c r="N105" i="1"/>
  <c r="N79" i="1"/>
  <c r="N92" i="1"/>
  <c r="N100" i="1"/>
  <c r="N111" i="1"/>
  <c r="N109" i="1"/>
  <c r="N96" i="1"/>
  <c r="N115" i="1"/>
  <c r="N113" i="1"/>
  <c r="N125" i="1"/>
  <c r="N90" i="1"/>
  <c r="N121" i="1"/>
  <c r="N83" i="1"/>
  <c r="N108" i="1"/>
  <c r="N102" i="1"/>
  <c r="N85" i="1"/>
  <c r="N84" i="1"/>
  <c r="N86" i="1"/>
  <c r="N143" i="1"/>
  <c r="N110" i="1"/>
  <c r="N97" i="1"/>
  <c r="N82" i="1"/>
  <c r="N101" i="1"/>
  <c r="N103" i="1"/>
  <c r="N120" i="1"/>
  <c r="N117" i="1"/>
  <c r="N98" i="1"/>
  <c r="N142" i="1"/>
  <c r="N129" i="1"/>
  <c r="N124" i="1"/>
  <c r="N127" i="1"/>
  <c r="N128" i="1"/>
  <c r="N114" i="1"/>
  <c r="N116" i="1"/>
  <c r="N130" i="1"/>
  <c r="N126" i="1"/>
  <c r="N118" i="1"/>
  <c r="N112" i="1"/>
  <c r="N107" i="1"/>
  <c r="N135" i="1"/>
  <c r="N119" i="1"/>
  <c r="N122" i="1"/>
  <c r="N4" i="1"/>
  <c r="N326" i="3" l="1"/>
  <c r="O326" i="3" s="1"/>
  <c r="O254" i="3"/>
  <c r="F2" i="1"/>
  <c r="F11" i="1"/>
  <c r="F8" i="1"/>
  <c r="F7" i="1"/>
  <c r="F6" i="1"/>
  <c r="F12" i="1"/>
  <c r="N192" i="3" s="1"/>
  <c r="F20" i="1"/>
  <c r="F13" i="1"/>
  <c r="F28" i="1"/>
  <c r="F3" i="1"/>
  <c r="N191" i="3" s="1"/>
  <c r="F26" i="1"/>
  <c r="F9" i="1"/>
  <c r="F14" i="1"/>
  <c r="N76" i="3" s="1"/>
  <c r="F18" i="1"/>
  <c r="N311" i="3" s="1"/>
  <c r="F21" i="1"/>
  <c r="N252" i="3" s="1"/>
  <c r="F34" i="1"/>
  <c r="N242" i="3" s="1"/>
  <c r="F31" i="1"/>
  <c r="F22" i="1"/>
  <c r="F23" i="1"/>
  <c r="N130" i="3" s="1"/>
  <c r="F15" i="1"/>
  <c r="F17" i="1"/>
  <c r="F24" i="1"/>
  <c r="F19" i="1"/>
  <c r="F16" i="1"/>
  <c r="F29" i="1"/>
  <c r="F30" i="1"/>
  <c r="N21" i="3" s="1"/>
  <c r="F27" i="1"/>
  <c r="F45" i="1"/>
  <c r="F33" i="1"/>
  <c r="F48" i="1"/>
  <c r="N94" i="3" s="1"/>
  <c r="F46" i="1"/>
  <c r="F47" i="1"/>
  <c r="F41" i="1"/>
  <c r="F38" i="1"/>
  <c r="F44" i="1"/>
  <c r="F35" i="1"/>
  <c r="F25" i="1"/>
  <c r="F54" i="1"/>
  <c r="F36" i="1"/>
  <c r="F39" i="1"/>
  <c r="F55" i="1"/>
  <c r="F50" i="1"/>
  <c r="F56" i="1"/>
  <c r="N109" i="3" s="1"/>
  <c r="F37" i="1"/>
  <c r="F40" i="1"/>
  <c r="F65" i="1"/>
  <c r="N122" i="3" s="1"/>
  <c r="F72" i="1"/>
  <c r="N220" i="3" s="1"/>
  <c r="F73" i="1"/>
  <c r="N140" i="3" s="1"/>
  <c r="F91" i="1"/>
  <c r="N248" i="3" s="1"/>
  <c r="F62" i="1"/>
  <c r="F66" i="1"/>
  <c r="N97" i="3" s="1"/>
  <c r="F51" i="1"/>
  <c r="F32" i="1"/>
  <c r="F52" i="1"/>
  <c r="F71" i="1"/>
  <c r="F87" i="1"/>
  <c r="N158" i="3" s="1"/>
  <c r="F59" i="1"/>
  <c r="F75" i="1"/>
  <c r="N81" i="3" s="1"/>
  <c r="F49" i="1"/>
  <c r="F53" i="1"/>
  <c r="F69" i="1"/>
  <c r="F106" i="1"/>
  <c r="F132" i="1"/>
  <c r="F57" i="1"/>
  <c r="F60" i="1"/>
  <c r="F43" i="1"/>
  <c r="F61" i="1"/>
  <c r="F58" i="1"/>
  <c r="F64" i="1"/>
  <c r="F63" i="1"/>
  <c r="N332" i="3" s="1"/>
  <c r="F94" i="1"/>
  <c r="F99" i="1"/>
  <c r="F74" i="1"/>
  <c r="F80" i="1"/>
  <c r="F68" i="1"/>
  <c r="F95" i="1"/>
  <c r="F70" i="1"/>
  <c r="N159" i="3" s="1"/>
  <c r="F67" i="1"/>
  <c r="F78" i="1"/>
  <c r="F104" i="1"/>
  <c r="N79" i="3" s="1"/>
  <c r="F76" i="1"/>
  <c r="F77" i="1"/>
  <c r="F93" i="1"/>
  <c r="N137" i="3" s="1"/>
  <c r="F81" i="1"/>
  <c r="F89" i="1"/>
  <c r="F88" i="1"/>
  <c r="N41" i="3" s="1"/>
  <c r="F105" i="1"/>
  <c r="N55" i="3" s="1"/>
  <c r="F79" i="1"/>
  <c r="F92" i="1"/>
  <c r="F100" i="1"/>
  <c r="N203" i="3" s="1"/>
  <c r="F111" i="1"/>
  <c r="F109" i="1"/>
  <c r="N9" i="3" s="1"/>
  <c r="F96" i="1"/>
  <c r="N234" i="3" s="1"/>
  <c r="F115" i="1"/>
  <c r="F113" i="1"/>
  <c r="F125" i="1"/>
  <c r="N182" i="3" s="1"/>
  <c r="F90" i="1"/>
  <c r="F121" i="1"/>
  <c r="F83" i="1"/>
  <c r="F108" i="1"/>
  <c r="F102" i="1"/>
  <c r="F85" i="1"/>
  <c r="F84" i="1"/>
  <c r="F86" i="1"/>
  <c r="F143" i="1"/>
  <c r="F110" i="1"/>
  <c r="N62" i="3" s="1"/>
  <c r="F97" i="1"/>
  <c r="F82" i="1"/>
  <c r="F101" i="1"/>
  <c r="F120" i="1"/>
  <c r="F117" i="1"/>
  <c r="N171" i="3" s="1"/>
  <c r="F98" i="1"/>
  <c r="F142" i="1"/>
  <c r="N66" i="3" s="1"/>
  <c r="F129" i="1"/>
  <c r="N104" i="3" s="1"/>
  <c r="F124" i="1"/>
  <c r="F127" i="1"/>
  <c r="N217" i="3" s="1"/>
  <c r="F128" i="1"/>
  <c r="F114" i="1"/>
  <c r="F116" i="1"/>
  <c r="F130" i="1"/>
  <c r="N189" i="3" s="1"/>
  <c r="F126" i="1"/>
  <c r="N84" i="3" s="1"/>
  <c r="F118" i="1"/>
  <c r="F112" i="1"/>
  <c r="F107" i="1"/>
  <c r="F135" i="1"/>
  <c r="F119" i="1"/>
  <c r="F122" i="1"/>
  <c r="F10" i="1"/>
  <c r="F5" i="1"/>
  <c r="N351" i="3" s="1"/>
  <c r="B24" i="1"/>
  <c r="B19" i="1"/>
  <c r="B16" i="1"/>
  <c r="B29" i="1"/>
  <c r="B30" i="1"/>
  <c r="B45" i="1"/>
  <c r="B33" i="1"/>
  <c r="B48" i="1"/>
  <c r="B46" i="1"/>
  <c r="B47" i="1"/>
  <c r="B41" i="1"/>
  <c r="B38" i="1"/>
  <c r="B44" i="1"/>
  <c r="B35" i="1"/>
  <c r="B25" i="1"/>
  <c r="B54" i="1"/>
  <c r="B36" i="1"/>
  <c r="B39" i="1"/>
  <c r="B55" i="1"/>
  <c r="B50" i="1"/>
  <c r="B56" i="1"/>
  <c r="B37" i="1"/>
  <c r="B65" i="1"/>
  <c r="B72" i="1"/>
  <c r="B73" i="1"/>
  <c r="B91" i="1"/>
  <c r="B62" i="1"/>
  <c r="B66" i="1"/>
  <c r="B51" i="1"/>
  <c r="B32" i="1"/>
  <c r="B52" i="1"/>
  <c r="B71" i="1"/>
  <c r="B87" i="1"/>
  <c r="B59" i="1"/>
  <c r="B75" i="1"/>
  <c r="B49" i="1"/>
  <c r="B53" i="1"/>
  <c r="B69" i="1"/>
  <c r="B106" i="1"/>
  <c r="B132" i="1"/>
  <c r="B57" i="1"/>
  <c r="B60" i="1"/>
  <c r="B43" i="1"/>
  <c r="B61" i="1"/>
  <c r="B58" i="1"/>
  <c r="B64" i="1"/>
  <c r="B63" i="1"/>
  <c r="B94" i="1"/>
  <c r="B99" i="1"/>
  <c r="B74" i="1"/>
  <c r="B80" i="1"/>
  <c r="B68" i="1"/>
  <c r="B95" i="1"/>
  <c r="B70" i="1"/>
  <c r="B67" i="1"/>
  <c r="B78" i="1"/>
  <c r="B104" i="1"/>
  <c r="B76" i="1"/>
  <c r="B77" i="1"/>
  <c r="B93" i="1"/>
  <c r="B81" i="1"/>
  <c r="B89" i="1"/>
  <c r="B88" i="1"/>
  <c r="B105" i="1"/>
  <c r="B79" i="1"/>
  <c r="B92" i="1"/>
  <c r="B100" i="1"/>
  <c r="B111" i="1"/>
  <c r="B109" i="1"/>
  <c r="B96" i="1"/>
  <c r="B115" i="1"/>
  <c r="B113" i="1"/>
  <c r="B125" i="1"/>
  <c r="B90" i="1"/>
  <c r="B121" i="1"/>
  <c r="B83" i="1"/>
  <c r="B108" i="1"/>
  <c r="B102" i="1"/>
  <c r="B85" i="1"/>
  <c r="B84" i="1"/>
  <c r="B86" i="1"/>
  <c r="B143" i="1"/>
  <c r="B110" i="1"/>
  <c r="B97" i="1"/>
  <c r="B82" i="1"/>
  <c r="B101" i="1"/>
  <c r="B103" i="1"/>
  <c r="B120" i="1"/>
  <c r="B117" i="1"/>
  <c r="B98" i="1"/>
  <c r="B142" i="1"/>
  <c r="B129" i="1"/>
  <c r="B124" i="1"/>
  <c r="B127" i="1"/>
  <c r="B128" i="1"/>
  <c r="B114" i="1"/>
  <c r="B116" i="1"/>
  <c r="B130" i="1"/>
  <c r="B126" i="1"/>
  <c r="B118" i="1"/>
  <c r="B112" i="1"/>
  <c r="B107" i="1"/>
  <c r="B135" i="1"/>
  <c r="B119" i="1"/>
  <c r="B122" i="1"/>
  <c r="B11" i="1"/>
  <c r="B8" i="1"/>
  <c r="B7" i="1"/>
  <c r="B6" i="1"/>
  <c r="B12" i="1"/>
  <c r="B20" i="1"/>
  <c r="B13" i="1"/>
  <c r="B28" i="1"/>
  <c r="B3" i="1"/>
  <c r="B26" i="1"/>
  <c r="B9" i="1"/>
  <c r="B14" i="1"/>
  <c r="B18" i="1"/>
  <c r="B21" i="1"/>
  <c r="B34" i="1"/>
  <c r="B31" i="1"/>
  <c r="B22" i="1"/>
  <c r="B23" i="1"/>
  <c r="B15" i="1"/>
  <c r="B17" i="1"/>
  <c r="B5" i="1"/>
  <c r="B10" i="1"/>
  <c r="B2" i="1"/>
  <c r="J4" i="1"/>
  <c r="B4" i="1"/>
  <c r="N111" i="3" l="1"/>
  <c r="O111" i="3" s="1"/>
  <c r="N379" i="3"/>
  <c r="O379" i="3" s="1"/>
  <c r="N121" i="3"/>
  <c r="O121" i="3" s="1"/>
  <c r="N227" i="3"/>
  <c r="O227" i="3" s="1"/>
  <c r="N13" i="3"/>
  <c r="O13" i="3" s="1"/>
  <c r="N24" i="3"/>
  <c r="O24" i="3" s="1"/>
  <c r="N280" i="3"/>
  <c r="O280" i="3" s="1"/>
  <c r="N98" i="3"/>
  <c r="O98" i="3" s="1"/>
  <c r="N291" i="3"/>
  <c r="O291" i="3" s="1"/>
  <c r="N67" i="3"/>
  <c r="O67" i="3" s="1"/>
  <c r="N44" i="3"/>
  <c r="O44" i="3" s="1"/>
  <c r="N8" i="3"/>
  <c r="O8" i="3" s="1"/>
  <c r="N328" i="3"/>
  <c r="O328" i="3" s="1"/>
  <c r="N80" i="3"/>
  <c r="O80" i="3" s="1"/>
  <c r="N369" i="3"/>
  <c r="O369" i="3" s="1"/>
  <c r="N69" i="3"/>
  <c r="O69" i="3" s="1"/>
  <c r="N378" i="3"/>
  <c r="O378" i="3" s="1"/>
  <c r="N167" i="3"/>
  <c r="O167" i="3" s="1"/>
  <c r="N376" i="3"/>
  <c r="O376" i="3" s="1"/>
  <c r="N27" i="3"/>
  <c r="O27" i="3" s="1"/>
  <c r="N30" i="3"/>
  <c r="N34" i="3"/>
  <c r="O34" i="3" s="1"/>
  <c r="O73" i="3"/>
  <c r="N40" i="3"/>
  <c r="O40" i="3" s="1"/>
  <c r="N102" i="3"/>
  <c r="O102" i="3" s="1"/>
  <c r="N307" i="3"/>
  <c r="O307" i="3" s="1"/>
  <c r="O32" i="3"/>
  <c r="O128" i="3"/>
  <c r="N57" i="3"/>
  <c r="O57" i="3" s="1"/>
  <c r="N12" i="3"/>
  <c r="O12" i="3" s="1"/>
  <c r="N18" i="3"/>
  <c r="O18" i="3" s="1"/>
  <c r="N382" i="3"/>
  <c r="O382" i="3" s="1"/>
  <c r="N113" i="3"/>
  <c r="O113" i="3" s="1"/>
  <c r="N56" i="3"/>
  <c r="O56" i="3" s="1"/>
  <c r="N48" i="3"/>
  <c r="O48" i="3" s="1"/>
  <c r="N308" i="3"/>
  <c r="O308" i="3" s="1"/>
  <c r="N88" i="3"/>
  <c r="O88" i="3" s="1"/>
  <c r="N89" i="3"/>
  <c r="O89" i="3" s="1"/>
  <c r="N106" i="3"/>
  <c r="O106" i="3" s="1"/>
  <c r="N25" i="3"/>
  <c r="N61" i="3"/>
  <c r="O61" i="3" s="1"/>
  <c r="N53" i="3"/>
  <c r="O53" i="3" s="1"/>
  <c r="N381" i="3"/>
  <c r="O381" i="3" s="1"/>
  <c r="N28" i="3"/>
  <c r="O28" i="3" s="1"/>
  <c r="N365" i="3"/>
  <c r="O365" i="3" s="1"/>
  <c r="O244" i="3"/>
  <c r="N133" i="3"/>
  <c r="O133" i="3" s="1"/>
  <c r="N138" i="3"/>
  <c r="O138" i="3" s="1"/>
  <c r="N6" i="3"/>
  <c r="O6" i="3" s="1"/>
  <c r="N31" i="3"/>
  <c r="O31" i="3" s="1"/>
  <c r="N93" i="3"/>
  <c r="O93" i="3" s="1"/>
  <c r="N108" i="3"/>
  <c r="O108" i="3" s="1"/>
  <c r="N3" i="3"/>
  <c r="N45" i="3"/>
  <c r="O45" i="3" s="1"/>
  <c r="N373" i="3"/>
  <c r="O373" i="3" s="1"/>
  <c r="O123" i="3"/>
  <c r="O70" i="3"/>
  <c r="N64" i="3"/>
  <c r="O64" i="3" s="1"/>
  <c r="N208" i="3"/>
  <c r="O208" i="3" s="1"/>
  <c r="N46" i="3"/>
  <c r="O46" i="3" s="1"/>
  <c r="N103" i="3"/>
  <c r="O103" i="3" s="1"/>
  <c r="N201" i="3"/>
  <c r="O201" i="3" s="1"/>
  <c r="N226" i="3"/>
  <c r="O226" i="3" s="1"/>
  <c r="N179" i="3"/>
  <c r="O179" i="3" s="1"/>
  <c r="N222" i="3"/>
  <c r="O222" i="3" s="1"/>
  <c r="N199" i="3"/>
  <c r="O199" i="3" s="1"/>
  <c r="N204" i="3"/>
  <c r="O204" i="3" s="1"/>
  <c r="N245" i="3"/>
  <c r="O245" i="3" s="1"/>
  <c r="N197" i="3"/>
  <c r="O197" i="3" s="1"/>
  <c r="N374" i="3"/>
  <c r="O374" i="3" s="1"/>
  <c r="N375" i="3"/>
  <c r="O375" i="3" s="1"/>
  <c r="N210" i="3"/>
  <c r="O210" i="3" s="1"/>
  <c r="N166" i="3"/>
  <c r="O166" i="3" s="1"/>
  <c r="N370" i="3"/>
  <c r="O370" i="3" s="1"/>
  <c r="N63" i="3"/>
  <c r="O63" i="3" s="1"/>
  <c r="N274" i="3"/>
  <c r="O274" i="3" s="1"/>
  <c r="N267" i="3"/>
  <c r="O267" i="3" s="1"/>
  <c r="N355" i="3"/>
  <c r="O355" i="3" s="1"/>
  <c r="N16" i="3"/>
  <c r="O16" i="3" s="1"/>
  <c r="N380" i="3"/>
  <c r="O380" i="3" s="1"/>
  <c r="N112" i="3"/>
  <c r="O112" i="3" s="1"/>
  <c r="N268" i="3"/>
  <c r="O268" i="3" s="1"/>
  <c r="N23" i="3"/>
  <c r="O23" i="3" s="1"/>
  <c r="O192" i="3"/>
  <c r="N155" i="3"/>
  <c r="O155" i="3" s="1"/>
  <c r="N209" i="3"/>
  <c r="O209" i="3" s="1"/>
  <c r="N164" i="3"/>
  <c r="O164" i="3" s="1"/>
  <c r="N110" i="3"/>
  <c r="O110" i="3" s="1"/>
  <c r="N318" i="3"/>
  <c r="O318" i="3" s="1"/>
  <c r="N188" i="3"/>
  <c r="O188" i="3" s="1"/>
  <c r="N339" i="3"/>
  <c r="O339" i="3" s="1"/>
  <c r="N77" i="3"/>
  <c r="O77" i="3" s="1"/>
  <c r="N276" i="3"/>
  <c r="O276" i="3" s="1"/>
  <c r="N58" i="3"/>
  <c r="O58" i="3" s="1"/>
  <c r="O76" i="3"/>
  <c r="N149" i="3"/>
  <c r="O149" i="3" s="1"/>
  <c r="N262" i="3"/>
  <c r="O262" i="3" s="1"/>
  <c r="N65" i="3"/>
  <c r="O65" i="3" s="1"/>
  <c r="N156" i="3"/>
  <c r="O156" i="3" s="1"/>
  <c r="N35" i="3"/>
  <c r="O35" i="3" s="1"/>
  <c r="N129" i="3"/>
  <c r="O129" i="3" s="1"/>
  <c r="N310" i="3"/>
  <c r="O310" i="3" s="1"/>
  <c r="N75" i="3"/>
  <c r="O75" i="3" s="1"/>
  <c r="O252" i="3"/>
  <c r="N219" i="3"/>
  <c r="O219" i="3" s="1"/>
  <c r="N157" i="3"/>
  <c r="O157" i="3" s="1"/>
  <c r="N263" i="3"/>
  <c r="O263" i="3" s="1"/>
  <c r="N37" i="3"/>
  <c r="O37" i="3" s="1"/>
  <c r="N304" i="3"/>
  <c r="O304" i="3" s="1"/>
  <c r="N272" i="3"/>
  <c r="O272" i="3" s="1"/>
  <c r="N195" i="3"/>
  <c r="O195" i="3" s="1"/>
  <c r="N371" i="3"/>
  <c r="O371" i="3" s="1"/>
  <c r="N43" i="3"/>
  <c r="O43" i="3" s="1"/>
  <c r="N163" i="3"/>
  <c r="O163" i="3" s="1"/>
  <c r="N38" i="3"/>
  <c r="O38" i="3" s="1"/>
  <c r="O21" i="3"/>
  <c r="O351" i="3"/>
  <c r="O191" i="3"/>
  <c r="O332" i="3"/>
  <c r="O41" i="3"/>
  <c r="O311" i="3"/>
  <c r="O9" i="3"/>
  <c r="O94" i="3"/>
  <c r="O130" i="3"/>
  <c r="O242" i="3"/>
  <c r="O109" i="3"/>
  <c r="O104" i="3"/>
  <c r="O79" i="3"/>
  <c r="O158" i="3"/>
  <c r="O66" i="3"/>
  <c r="O203" i="3"/>
  <c r="O159" i="3"/>
  <c r="O246" i="3"/>
  <c r="O171" i="3"/>
  <c r="O84" i="3"/>
  <c r="O55" i="3"/>
  <c r="O97" i="3"/>
  <c r="O182" i="3"/>
  <c r="O248" i="3"/>
  <c r="O140" i="3"/>
  <c r="O234" i="3"/>
  <c r="O81" i="3"/>
  <c r="O122" i="3"/>
  <c r="O189" i="3"/>
  <c r="O217" i="3"/>
  <c r="O62" i="3"/>
  <c r="O137" i="3"/>
  <c r="O220" i="3"/>
  <c r="F4" i="1"/>
  <c r="N22" i="3" s="1"/>
  <c r="H10" i="1"/>
  <c r="L10" i="1" s="1"/>
  <c r="M5" i="1"/>
  <c r="H5" i="1"/>
  <c r="M2" i="1"/>
  <c r="H2" i="1"/>
  <c r="L2" i="1" s="1"/>
  <c r="M4" i="1"/>
  <c r="H4" i="1"/>
  <c r="L4" i="1" s="1"/>
  <c r="M10" i="1"/>
  <c r="L5" i="1" l="1"/>
  <c r="N212" i="3"/>
  <c r="O212" i="3" s="1"/>
  <c r="K4" i="1"/>
  <c r="O22" i="3"/>
  <c r="O3" i="3"/>
  <c r="O25" i="3"/>
  <c r="O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AMITH</author>
  </authors>
  <commentList>
    <comment ref="E78" authorId="0" shapeId="0" xr:uid="{ED95DCCA-9277-4140-8F87-C76F5F718268}">
      <text>
        <r>
          <rPr>
            <b/>
            <sz val="9"/>
            <color indexed="81"/>
            <rFont val="Tahoma"/>
            <family val="2"/>
          </rPr>
          <t>AMITH:</t>
        </r>
        <r>
          <rPr>
            <sz val="9"/>
            <color indexed="81"/>
            <rFont val="Tahoma"/>
            <family val="2"/>
          </rPr>
          <t xml:space="preserve">
Approval received for 1 day from Beb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AMITH</author>
  </authors>
  <commentList>
    <comment ref="L242" authorId="0" shapeId="0" xr:uid="{3D632C9D-5386-476E-97AD-555AB4C45C7D}">
      <text>
        <r>
          <rPr>
            <b/>
            <sz val="9"/>
            <color indexed="81"/>
            <rFont val="Tahoma"/>
            <family val="2"/>
          </rPr>
          <t>AMITH:</t>
        </r>
        <r>
          <rPr>
            <sz val="9"/>
            <color indexed="81"/>
            <rFont val="Tahoma"/>
            <family val="2"/>
          </rPr>
          <t xml:space="preserve">
Availed Leaves 2, From 8 Feb to 9 Feb</t>
        </r>
      </text>
    </comment>
  </commentList>
</comments>
</file>

<file path=xl/sharedStrings.xml><?xml version="1.0" encoding="utf-8"?>
<sst xmlns="http://schemas.openxmlformats.org/spreadsheetml/2006/main" count="1248" uniqueCount="656">
  <si>
    <t>Employee ID</t>
  </si>
  <si>
    <t>Name</t>
  </si>
  <si>
    <t>Leave Type</t>
  </si>
  <si>
    <t>Start Date</t>
  </si>
  <si>
    <t>End Date</t>
  </si>
  <si>
    <t>Rejoining Date</t>
  </si>
  <si>
    <t>Leave Status</t>
  </si>
  <si>
    <t>Sort Order</t>
  </si>
  <si>
    <t>Filter Leave Type:</t>
  </si>
  <si>
    <t>Number of Days</t>
  </si>
  <si>
    <t>Status as on</t>
  </si>
  <si>
    <t xml:space="preserve">Leave Balance </t>
  </si>
  <si>
    <t>Current Leave Balance</t>
  </si>
  <si>
    <t xml:space="preserve">Annual Leave </t>
  </si>
  <si>
    <t>Emergency Leave</t>
  </si>
  <si>
    <t>Annual Leave</t>
  </si>
  <si>
    <t>Annual Leave (Umrah)</t>
  </si>
  <si>
    <t>Annual Leave(Medical)</t>
  </si>
  <si>
    <t>Emergency  Leave(Medical)</t>
  </si>
  <si>
    <t xml:space="preserve">Emergency Leave </t>
  </si>
  <si>
    <t>Maternity Leave</t>
  </si>
  <si>
    <t>other, (Easter)</t>
  </si>
  <si>
    <t>Paternity Leave</t>
  </si>
  <si>
    <t>Others (Paternity)</t>
  </si>
  <si>
    <t>31/04/25</t>
  </si>
  <si>
    <t>Anbu Vadivel Subbiah</t>
  </si>
  <si>
    <t>Rejoin alert</t>
  </si>
  <si>
    <t>Extende Days</t>
  </si>
  <si>
    <t>Leave Taken</t>
  </si>
  <si>
    <t>AL Balance</t>
  </si>
  <si>
    <t>Designation</t>
  </si>
  <si>
    <t>Balance on 12/24</t>
  </si>
  <si>
    <t>Join Date</t>
  </si>
  <si>
    <t>Afroz Ali Khan Khan</t>
  </si>
  <si>
    <t>Cashier</t>
  </si>
  <si>
    <t>Alamgir Hossin Mohammed Sattar</t>
  </si>
  <si>
    <t>Carpenter</t>
  </si>
  <si>
    <t>Amanutullah Khan</t>
  </si>
  <si>
    <t>Aluminium Fabricator</t>
  </si>
  <si>
    <t>Ashok Kumar Lekhu Ram</t>
  </si>
  <si>
    <t>Online QC</t>
  </si>
  <si>
    <t>Babuu Ansar Ali</t>
  </si>
  <si>
    <t>Extruder Operator</t>
  </si>
  <si>
    <t>Esoj Jose</t>
  </si>
  <si>
    <t>Electrical Supervisor</t>
  </si>
  <si>
    <t>Esrafil Patu Ali</t>
  </si>
  <si>
    <t>Mason</t>
  </si>
  <si>
    <t>Gulak Sutradhar Babu Lal</t>
  </si>
  <si>
    <t>Foreman</t>
  </si>
  <si>
    <t>Esmaeil Hassan Rahideh</t>
  </si>
  <si>
    <t>Group Director – Legal &amp; Communications</t>
  </si>
  <si>
    <t>Jayesh Krishnan Gopalakrishnan</t>
  </si>
  <si>
    <t xml:space="preserve">Sales Executive </t>
  </si>
  <si>
    <t>Khorshed Sheikh Nurul Islam</t>
  </si>
  <si>
    <t>FR Helper Line 3</t>
  </si>
  <si>
    <t>Mary Jaya Francis</t>
  </si>
  <si>
    <t>Executive Manager – Chairman’s Office</t>
  </si>
  <si>
    <t xml:space="preserve">Md Mosharaf Hossain </t>
  </si>
  <si>
    <t>Production Supervisor</t>
  </si>
  <si>
    <t>Muhammad Inam Noor Muhammad</t>
  </si>
  <si>
    <t>Chairman Driver</t>
  </si>
  <si>
    <t>Nasir Aziz Masih Aziz</t>
  </si>
  <si>
    <t>Sales Executive / Cricketer</t>
  </si>
  <si>
    <t>Olyullah Ali Akbor</t>
  </si>
  <si>
    <t>Supervisor</t>
  </si>
  <si>
    <t>Ravikumar Velayudhan Velayudhan</t>
  </si>
  <si>
    <t>Rezaul Karim Abdur Rouf</t>
  </si>
  <si>
    <t>Roshid Sheikh Taleb Ali Sheikh</t>
  </si>
  <si>
    <t>Helper</t>
  </si>
  <si>
    <t>Ruhul Amin Haian Saiyal</t>
  </si>
  <si>
    <t>End Cutting Operator</t>
  </si>
  <si>
    <t>Saidur Abdul Samad</t>
  </si>
  <si>
    <t>Lamination Operator</t>
  </si>
  <si>
    <t>Saiyed Anwar Hussain Rizvi</t>
  </si>
  <si>
    <t>Senior Manager</t>
  </si>
  <si>
    <t>Shareef Asadullah Muhammad</t>
  </si>
  <si>
    <t>PR Manager</t>
  </si>
  <si>
    <t>Shoukath Ahmed Khan</t>
  </si>
  <si>
    <t>Security Guard</t>
  </si>
  <si>
    <t>Siful Islam Abdul Samad</t>
  </si>
  <si>
    <t>Vijayalekshmi Neelakanta Pillai Sajeev Kumar</t>
  </si>
  <si>
    <t>Temporary Forklift Operator</t>
  </si>
  <si>
    <t>Zia Rahman Siraj Uddin</t>
  </si>
  <si>
    <t>PE Loading Operator</t>
  </si>
  <si>
    <t>Zohirul Islam Nuruzzaman</t>
  </si>
  <si>
    <t>Maintenance Incharge</t>
  </si>
  <si>
    <t>Zulfikar Ali Abdul Majeed</t>
  </si>
  <si>
    <t>Regional Manager</t>
  </si>
  <si>
    <t>Jugdayal Sharma Sudeshwar Sharma</t>
  </si>
  <si>
    <t>Shameem Hossain Mofser Mollah</t>
  </si>
  <si>
    <t>Balwant Singh Munsha Singh</t>
  </si>
  <si>
    <t>Moazam Qureshi Mohammed</t>
  </si>
  <si>
    <t>Asst. Operation Manager</t>
  </si>
  <si>
    <t>Badri Bahadur Budhathoki</t>
  </si>
  <si>
    <t>Ratan Sheikh Nurul Islam</t>
  </si>
  <si>
    <t>House Keeper</t>
  </si>
  <si>
    <t>Mirza Shafiullah Baig</t>
  </si>
  <si>
    <t>Purchase Assistant</t>
  </si>
  <si>
    <t>Mehedi Hasan Abdul Aziz</t>
  </si>
  <si>
    <t>Office Boy</t>
  </si>
  <si>
    <t>Kamal Hossain Tofazzal Mollah</t>
  </si>
  <si>
    <t>Mohammed Parvez Kamal Uddin</t>
  </si>
  <si>
    <t>Liton Zamal Hossain</t>
  </si>
  <si>
    <t>Prasith Ponnara Kandy</t>
  </si>
  <si>
    <t>Assistant Manager</t>
  </si>
  <si>
    <t>Saadullah Khan Nawab Dawood Khan</t>
  </si>
  <si>
    <t xml:space="preserve">Director- Operational &amp; Sales  Support </t>
  </si>
  <si>
    <t>Zahangir Alom Abdul Gony</t>
  </si>
  <si>
    <t>Forklift Operator</t>
  </si>
  <si>
    <t>Khairul Hasan Bhuiyan Md Abdur Rashid Bhuiyan</t>
  </si>
  <si>
    <t>Md Zahangir Alam Abdur Rahoman</t>
  </si>
  <si>
    <t>FR Igglo Operator Line 1</t>
  </si>
  <si>
    <t>Abdur Rashid Abdul Awal</t>
  </si>
  <si>
    <t>FR Helper Line 2</t>
  </si>
  <si>
    <t>Mohammed Milon Lokman Hossain</t>
  </si>
  <si>
    <t>FR Igglo Operator Line 3</t>
  </si>
  <si>
    <t>Mohammad Milon Miah Abul Kashem</t>
  </si>
  <si>
    <t>Jafar Hqbal Sharif Mannan Sharif</t>
  </si>
  <si>
    <t xml:space="preserve">FR Operator Line 1 </t>
  </si>
  <si>
    <t>Samrat Matubbar Md Hakim Matubbar</t>
  </si>
  <si>
    <t xml:space="preserve">FR Operator Line 3 </t>
  </si>
  <si>
    <t>Monir Hossain Nurul Islam Patoari</t>
  </si>
  <si>
    <t>Alaim Md Motalab</t>
  </si>
  <si>
    <t>Mafijur Matubber Shajahan Fakir</t>
  </si>
  <si>
    <t>Amir Alam Khan Bahar Karam</t>
  </si>
  <si>
    <t>Trailer Driver - 68503</t>
  </si>
  <si>
    <t>Amir Hossain Kabir Ahmed</t>
  </si>
  <si>
    <t>Imam</t>
  </si>
  <si>
    <t>Monir Hossain Reno Miah</t>
  </si>
  <si>
    <t xml:space="preserve">FR Igglo Helper Line 1 </t>
  </si>
  <si>
    <t>Mohammad Masum Harunur Rashid</t>
  </si>
  <si>
    <t>Coating Operator</t>
  </si>
  <si>
    <t>Yuvaraj Chauhan</t>
  </si>
  <si>
    <t>Janeesh Jayakumar Baby</t>
  </si>
  <si>
    <t>Trailer Driver / 3 Tonne Pick Up 62755</t>
  </si>
  <si>
    <t>Muhammad Pervez Muhammad Idrees</t>
  </si>
  <si>
    <t>Sr.Maintenance Helper</t>
  </si>
  <si>
    <t>Asim Abbas Sadiq Ali</t>
  </si>
  <si>
    <t>Credit Controller</t>
  </si>
  <si>
    <t>Chandrakant Bhaskarbhai Pawar</t>
  </si>
  <si>
    <t>Group CFO</t>
  </si>
  <si>
    <t>Muhammad Irfan Ramzan</t>
  </si>
  <si>
    <t>Biju Sasidharan Susheela</t>
  </si>
  <si>
    <t>Nasar Khan Muhammad Afzal Khan</t>
  </si>
  <si>
    <t>Bus &amp; Light Vehicle Driver - Nissan 14 Seater</t>
  </si>
  <si>
    <t>Gopakumar Gopinathan Pillai</t>
  </si>
  <si>
    <t>Asst Manager Planning</t>
  </si>
  <si>
    <t xml:space="preserve">Gul Meen Khan Lal Meer Khan </t>
  </si>
  <si>
    <t>Driver - Toyota Avanza</t>
  </si>
  <si>
    <t>Mohammed Abul Hasan</t>
  </si>
  <si>
    <t>Naveed Anjum Muhammad Ramzan Bagoo</t>
  </si>
  <si>
    <t>Electrician</t>
  </si>
  <si>
    <t>Razib Shahid Miah</t>
  </si>
  <si>
    <t>Maintenance Fitter</t>
  </si>
  <si>
    <t>Aneesh Jose</t>
  </si>
  <si>
    <t>CCL Supervisor</t>
  </si>
  <si>
    <t>Ashraful Alam Jalil Sheikh</t>
  </si>
  <si>
    <t>Rewinding Operator</t>
  </si>
  <si>
    <t>Rafiqul Islam Abu Bakkar</t>
  </si>
  <si>
    <t>Finish Coating operator</t>
  </si>
  <si>
    <t>Ram Chandra Pradhan</t>
  </si>
  <si>
    <t>Hardev Singh</t>
  </si>
  <si>
    <t>Safdar Hussain Muhammad Raheem</t>
  </si>
  <si>
    <t>Israr Ahmed Bashir Ahmed</t>
  </si>
  <si>
    <t>Assistant Entry Operator</t>
  </si>
  <si>
    <t>Ravi Pal Singh</t>
  </si>
  <si>
    <t>Entry Helper</t>
  </si>
  <si>
    <t>Muhammad Saleem Muhammad Asghar</t>
  </si>
  <si>
    <t>Muhammad Altaf Khan Muhammad Roshan</t>
  </si>
  <si>
    <t>Plant Operator</t>
  </si>
  <si>
    <t>Santosh Kumar Tivari</t>
  </si>
  <si>
    <t>Azam Qureshi Mohammed</t>
  </si>
  <si>
    <t>Admin Executive</t>
  </si>
  <si>
    <t>Tufail Khan Kamin Shah</t>
  </si>
  <si>
    <t>Amarnath Kundan</t>
  </si>
  <si>
    <t>Unni Chuttakatt</t>
  </si>
  <si>
    <t>IT Manager</t>
  </si>
  <si>
    <t>Amrik Suman</t>
  </si>
  <si>
    <t>Praveen Prakash Noha</t>
  </si>
  <si>
    <t>Operator</t>
  </si>
  <si>
    <t>Amarjeet Raja Ram</t>
  </si>
  <si>
    <t>Mohammed Ziyauddin Shaikh‎</t>
  </si>
  <si>
    <t>Area Manager</t>
  </si>
  <si>
    <t>Vasanth Kishore Attota</t>
  </si>
  <si>
    <t>Managing Director</t>
  </si>
  <si>
    <t>Buchi Babu Daram</t>
  </si>
  <si>
    <t>Production Manager</t>
  </si>
  <si>
    <t>Vishnu Mohanan</t>
  </si>
  <si>
    <t>Bachittar Singh</t>
  </si>
  <si>
    <t>Khushali Bhagirath</t>
  </si>
  <si>
    <t>FR Igglo Helper Line 3</t>
  </si>
  <si>
    <t>Nawab Afaque Mohammed Khan</t>
  </si>
  <si>
    <t>Internal Auditor</t>
  </si>
  <si>
    <t>Salahudheen Karikuzhiyan Variyath</t>
  </si>
  <si>
    <t>Light Vehicle/Bus Driver - Yaris 82330</t>
  </si>
  <si>
    <t>Sanjay Kumar Kamala Prasad</t>
  </si>
  <si>
    <t>Chandra Mohan</t>
  </si>
  <si>
    <t>Personal Assistant to Deputy Chairperson</t>
  </si>
  <si>
    <t>Manoj Indika Kelum Mahingoda Mahingoda Naidelage</t>
  </si>
  <si>
    <t>Fayaz Ali Mohammed</t>
  </si>
  <si>
    <t>Marketing Manager</t>
  </si>
  <si>
    <t xml:space="preserve">Sunil Rana </t>
  </si>
  <si>
    <t>Mohammed Mubeen Mahmood Ali</t>
  </si>
  <si>
    <t>Sr. HSE Officer</t>
  </si>
  <si>
    <t xml:space="preserve">Arbab Ahmed Khan </t>
  </si>
  <si>
    <t>CEO</t>
  </si>
  <si>
    <t>Nehal Ahamad Najirullah</t>
  </si>
  <si>
    <t>Shaik Rasheed Ahmed</t>
  </si>
  <si>
    <t>Site Engineer</t>
  </si>
  <si>
    <t>Rejanesh Kumar Raghavan</t>
  </si>
  <si>
    <t>CNC Programmer cum Operator</t>
  </si>
  <si>
    <t>Nakul Terasi</t>
  </si>
  <si>
    <t>Wenjing Zhang</t>
  </si>
  <si>
    <t>Sourcing &amp; Quality Coordinator</t>
  </si>
  <si>
    <t>Syed Mushtaq Ahamad Syed Mukhtar Ahmed</t>
  </si>
  <si>
    <t>Amer Khan Mohammed</t>
  </si>
  <si>
    <t>Fitter</t>
  </si>
  <si>
    <t>Saroj Kumar Mukhram</t>
  </si>
  <si>
    <t>Kumar Gautam Kamal Kishore Prasad</t>
  </si>
  <si>
    <t>Assistant Operation Manager -  Metalplast Hamariyah Operation ( A2 Core, Adhesive Film &amp; Scrap Processing)</t>
  </si>
  <si>
    <t>Hassan Bilal Abdul Sattar</t>
  </si>
  <si>
    <t>Akhin Varghese</t>
  </si>
  <si>
    <t>Data Entry Operator - Warehouse</t>
  </si>
  <si>
    <t xml:space="preserve">Sadre Alam </t>
  </si>
  <si>
    <t>Kamlesh Kumar Chaudhary</t>
  </si>
  <si>
    <t>Fabricator</t>
  </si>
  <si>
    <t>Bacha Rashid Fazal Wahid</t>
  </si>
  <si>
    <t>Rahumathulla Mohamed Naseer</t>
  </si>
  <si>
    <t>Quality Controller</t>
  </si>
  <si>
    <t>Jabeena Ponmanichi Baboo</t>
  </si>
  <si>
    <t>Accounts Manager</t>
  </si>
  <si>
    <t>Siraj Ahmad</t>
  </si>
  <si>
    <t>Pramod Yadav</t>
  </si>
  <si>
    <t>Shuttering Carpenter</t>
  </si>
  <si>
    <t>Mahesh Babu</t>
  </si>
  <si>
    <t>Shift Supervisor</t>
  </si>
  <si>
    <t xml:space="preserve">Mohammad Jawed </t>
  </si>
  <si>
    <t xml:space="preserve">Mohanad Tarek Ghziel </t>
  </si>
  <si>
    <t>Debt Collector</t>
  </si>
  <si>
    <t>Rifas Ansary Mohammed</t>
  </si>
  <si>
    <t>Accounts Assistant</t>
  </si>
  <si>
    <t>Damburu Epili</t>
  </si>
  <si>
    <t>Ajaya Kumar</t>
  </si>
  <si>
    <t>Aqil Javed</t>
  </si>
  <si>
    <t>Industrial Electrician</t>
  </si>
  <si>
    <t>Vinod Sohan</t>
  </si>
  <si>
    <t>Mandresh  Khedan</t>
  </si>
  <si>
    <t>Adbul Rauf</t>
  </si>
  <si>
    <t>Salim Akhter Khan</t>
  </si>
  <si>
    <t>Ahmed Ashraf Shaban Elsayed Ahmed</t>
  </si>
  <si>
    <t>Sales Executive</t>
  </si>
  <si>
    <t>Amritlal Ramanand</t>
  </si>
  <si>
    <t xml:space="preserve">Sanjeet Kumar </t>
  </si>
  <si>
    <t>Rinaazuddin Khan</t>
  </si>
  <si>
    <t>Graphic Designer</t>
  </si>
  <si>
    <t>Sunil Kumar Kuswaha</t>
  </si>
  <si>
    <t>CCL Helper</t>
  </si>
  <si>
    <t>Justin Jose</t>
  </si>
  <si>
    <t>Pramodkumar Rajan</t>
  </si>
  <si>
    <t>Alben Johnson</t>
  </si>
  <si>
    <t>Sales Coordinator</t>
  </si>
  <si>
    <t>Radhakrishnan Ramankutty</t>
  </si>
  <si>
    <t>Maintenance Supervisor</t>
  </si>
  <si>
    <t>Ranjan Padapattan</t>
  </si>
  <si>
    <t>Rajeev Kumar</t>
  </si>
  <si>
    <t>Mohammad Shafiq</t>
  </si>
  <si>
    <t>Anowar Hossain</t>
  </si>
  <si>
    <t>Md Masum</t>
  </si>
  <si>
    <t>Mohammed Dider</t>
  </si>
  <si>
    <t>Mumeen Khan</t>
  </si>
  <si>
    <t>Md Alamgir Hossain</t>
  </si>
  <si>
    <t xml:space="preserve">Md Asrul </t>
  </si>
  <si>
    <t>Md Fahad</t>
  </si>
  <si>
    <t>Najir Hussain</t>
  </si>
  <si>
    <t>Faisal Yousaf Muhammad</t>
  </si>
  <si>
    <t>Blownfilm Plant Operator</t>
  </si>
  <si>
    <t>Mohammed Tayab Ali</t>
  </si>
  <si>
    <t>Construction Manager</t>
  </si>
  <si>
    <t>Gobri Yadav</t>
  </si>
  <si>
    <t>Abdur Rehman</t>
  </si>
  <si>
    <t>Saqib Raza</t>
  </si>
  <si>
    <t>Naveed Rasheed</t>
  </si>
  <si>
    <t>Fabricator/Silicon/crimping/Copy Router Operator</t>
  </si>
  <si>
    <t>Anzar Haleedhulla</t>
  </si>
  <si>
    <t>Driver</t>
  </si>
  <si>
    <t>Albin Kavil Joseph</t>
  </si>
  <si>
    <t xml:space="preserve">Electrical Supervisor </t>
  </si>
  <si>
    <t>Muhammad Adnan Akram</t>
  </si>
  <si>
    <t>Fabricator Cum Driver</t>
  </si>
  <si>
    <t>Gaurav Singh Nawal Kishor</t>
  </si>
  <si>
    <t>CCL Operator</t>
  </si>
  <si>
    <t xml:space="preserve">Maaz Ahmed </t>
  </si>
  <si>
    <t>Sahib Zada Sher Afzal Khan</t>
  </si>
  <si>
    <t>Mohammed Ramjan Ali</t>
  </si>
  <si>
    <t>Dhurba Prakash Neupane</t>
  </si>
  <si>
    <t>Assistant QC(ACP &amp; CCL)</t>
  </si>
  <si>
    <t>Kamlesh Kumar Kushwaha</t>
  </si>
  <si>
    <t>Sahadat Sheikh</t>
  </si>
  <si>
    <t>Office boy</t>
  </si>
  <si>
    <t>Md Rajib Hossen</t>
  </si>
  <si>
    <t>Muhammad Tayyab</t>
  </si>
  <si>
    <t>Md Sayful Islam</t>
  </si>
  <si>
    <t>Umar Farooq</t>
  </si>
  <si>
    <t>Md Saidur Islam</t>
  </si>
  <si>
    <t>Md Israfil Ibrahim</t>
  </si>
  <si>
    <t>Sanjay Kumar Chaudhari</t>
  </si>
  <si>
    <t>Rajesh Kumar Choudhary</t>
  </si>
  <si>
    <t>Aman Ullah</t>
  </si>
  <si>
    <t>Md Montu Khan</t>
  </si>
  <si>
    <t>Salman Qureshi Mohammed</t>
  </si>
  <si>
    <t>Bacha Khalid</t>
  </si>
  <si>
    <t>Driver-light &amp; Heavy Vehicle</t>
  </si>
  <si>
    <t>Sajidul Islam</t>
  </si>
  <si>
    <t>Janitor</t>
  </si>
  <si>
    <t>Anisur  Rahman</t>
  </si>
  <si>
    <t>Shahid Rafique</t>
  </si>
  <si>
    <t>Assistant Safety Officer</t>
  </si>
  <si>
    <t>Md Nurjamal Sardar</t>
  </si>
  <si>
    <t>Alomgir Md Huqum Ali</t>
  </si>
  <si>
    <t>Abul Hossain</t>
  </si>
  <si>
    <t>Md Shahin</t>
  </si>
  <si>
    <t>Rasel Ali Sha</t>
  </si>
  <si>
    <t>Rasel Iman Hossain</t>
  </si>
  <si>
    <t>Awais Ali</t>
  </si>
  <si>
    <t>Md Amir Ali</t>
  </si>
  <si>
    <t>Lokman Madbor</t>
  </si>
  <si>
    <t>Md Ali Hossan Shikder</t>
  </si>
  <si>
    <t>Mohammad Jamal Badiyar</t>
  </si>
  <si>
    <t>Draftsman Cum Coordinator</t>
  </si>
  <si>
    <t>Mohammed Liton</t>
  </si>
  <si>
    <t>Grasvin Grogory</t>
  </si>
  <si>
    <t>QC Incharge</t>
  </si>
  <si>
    <t>Ripon Talukder</t>
  </si>
  <si>
    <t>Sheikh Shahid</t>
  </si>
  <si>
    <t>Md Sohan Molla</t>
  </si>
  <si>
    <t>Pritish Ghosh</t>
  </si>
  <si>
    <t>BIM LGS Specialist</t>
  </si>
  <si>
    <t xml:space="preserve">Sowrab Mia </t>
  </si>
  <si>
    <t>Vikki Kumar</t>
  </si>
  <si>
    <t>Rajkumar Ganesan</t>
  </si>
  <si>
    <t>Storekeeper &amp; logistics Coordinator</t>
  </si>
  <si>
    <t>Md Giasuddin Sardar</t>
  </si>
  <si>
    <t>Muhammad Imran Muhammad Akram</t>
  </si>
  <si>
    <t>Plumber</t>
  </si>
  <si>
    <t>Dinesh Kumar Bhardwaj</t>
  </si>
  <si>
    <t>Welder</t>
  </si>
  <si>
    <t>Shahzada Khan</t>
  </si>
  <si>
    <t>Suresh Badhan Mistree</t>
  </si>
  <si>
    <t>Supervisor/Team Leader</t>
  </si>
  <si>
    <t>Ahmed Abdul Latheef Nijar</t>
  </si>
  <si>
    <t>Logistics Manager</t>
  </si>
  <si>
    <t>Nicolo Montesi</t>
  </si>
  <si>
    <t>Project Manager &amp; Design leader</t>
  </si>
  <si>
    <t xml:space="preserve">Niyas Mohamed Deen Mohamed </t>
  </si>
  <si>
    <t>Electrician /Fabricator</t>
  </si>
  <si>
    <t>Thivas Thilakan</t>
  </si>
  <si>
    <t>Assistant   Manager - HR</t>
  </si>
  <si>
    <t>Mohammed Sameer Sageer Ahmed</t>
  </si>
  <si>
    <t>Fabricator ( Windows &amp; LGS)</t>
  </si>
  <si>
    <t>Priyanti Prabhat Tatke</t>
  </si>
  <si>
    <t>Purchase Officer</t>
  </si>
  <si>
    <t>Gedela Hari Prasad Reddy</t>
  </si>
  <si>
    <t>Graphic Designer/Video Editor</t>
  </si>
  <si>
    <t>Naveed Shams Ur Rehman</t>
  </si>
  <si>
    <t>Nand Kishor Mahto</t>
  </si>
  <si>
    <t>Sahid Ahamad</t>
  </si>
  <si>
    <t>Steel Fixer</t>
  </si>
  <si>
    <t>Abdul Rahman</t>
  </si>
  <si>
    <t>Azharudeen Sidik Batcha</t>
  </si>
  <si>
    <t>Head - LGS Division</t>
  </si>
  <si>
    <t>Umair Ali Khan</t>
  </si>
  <si>
    <t>Sales Manager</t>
  </si>
  <si>
    <t>Nirosh Tharindu Madhusanka Thewage Don</t>
  </si>
  <si>
    <t>Natalia Kolieva</t>
  </si>
  <si>
    <t>Director - Luxury Brands</t>
  </si>
  <si>
    <t>Sreejesh Kumar</t>
  </si>
  <si>
    <t>CCL Planner</t>
  </si>
  <si>
    <t>Amrish Pandey</t>
  </si>
  <si>
    <t>Manish Kumar Yadav</t>
  </si>
  <si>
    <t>Qamar Zaman Muhammad Akmal</t>
  </si>
  <si>
    <t>CNC Programmer &amp; Operator</t>
  </si>
  <si>
    <t>Masood Ur Rahman</t>
  </si>
  <si>
    <t>Atta Ur Rahman</t>
  </si>
  <si>
    <t>Atiq Ur Rahman</t>
  </si>
  <si>
    <t>Fawad Zada</t>
  </si>
  <si>
    <t>Ahtsham Khalid</t>
  </si>
  <si>
    <t>Ahmad Ullah</t>
  </si>
  <si>
    <t>Sanjeev Dubey</t>
  </si>
  <si>
    <t>Bheem Kumar Thakur</t>
  </si>
  <si>
    <t>Sona Kizhakudan Prince</t>
  </si>
  <si>
    <t>Mohammed Ishaq Reddy</t>
  </si>
  <si>
    <t>Coordinator - Finance</t>
  </si>
  <si>
    <t>Ujjwal Mishra</t>
  </si>
  <si>
    <t>Online QC - CCL</t>
  </si>
  <si>
    <t>Ratheesh Pv</t>
  </si>
  <si>
    <t>Maintenance Manager</t>
  </si>
  <si>
    <t>Anupam Chakraborty</t>
  </si>
  <si>
    <t>MEP Engineer</t>
  </si>
  <si>
    <t>Muhamed Minhaj Nayarkandy</t>
  </si>
  <si>
    <t>Junior Accountant</t>
  </si>
  <si>
    <t>Sanjoga Thapa</t>
  </si>
  <si>
    <t>Muhammad Saad Tanveer</t>
  </si>
  <si>
    <t>Assistant Manager - QC</t>
  </si>
  <si>
    <t>Wazey Khan</t>
  </si>
  <si>
    <t>Sales Engineer</t>
  </si>
  <si>
    <t>Muhammed Rassel</t>
  </si>
  <si>
    <t>MEP Supervisor</t>
  </si>
  <si>
    <t>Muhammad Mushtaq</t>
  </si>
  <si>
    <t>Md Imran Ali</t>
  </si>
  <si>
    <t>Abraham John Thumpassery</t>
  </si>
  <si>
    <t xml:space="preserve">Director - Business Development </t>
  </si>
  <si>
    <t>Sethu Kumar</t>
  </si>
  <si>
    <t>Senior Accountant</t>
  </si>
  <si>
    <t>Chandan Mandal</t>
  </si>
  <si>
    <t xml:space="preserve"> Welder</t>
  </si>
  <si>
    <t>Amith V.R</t>
  </si>
  <si>
    <t>Junior Executive - HR</t>
  </si>
  <si>
    <t>Vipulkumar Bhanuprasad Dvivedi</t>
  </si>
  <si>
    <t>Senior Project Manager</t>
  </si>
  <si>
    <t>Satheesh Edassery</t>
  </si>
  <si>
    <t>Double Head Cutting Machine Operator</t>
  </si>
  <si>
    <t>Mohammed Sayeed Ahmed</t>
  </si>
  <si>
    <t>Hom Bahadur Gyawa</t>
  </si>
  <si>
    <t>Rishikesh Pulasseri</t>
  </si>
  <si>
    <t>Data Entry Operator</t>
  </si>
  <si>
    <t>Musaddaq Kaleem</t>
  </si>
  <si>
    <t>Manmeet Singh</t>
  </si>
  <si>
    <t>Irfan Ali</t>
  </si>
  <si>
    <t>Shabaz Khan</t>
  </si>
  <si>
    <t>Zain Ul Rehman</t>
  </si>
  <si>
    <t>Bobby Singh Jaspal Singh</t>
  </si>
  <si>
    <t>Harpreet Singh</t>
  </si>
  <si>
    <t>Daljinder Singh</t>
  </si>
  <si>
    <t>Gurjit Kumar</t>
  </si>
  <si>
    <t>Muhammad Talha</t>
  </si>
  <si>
    <t>Adnan Ali</t>
  </si>
  <si>
    <t>Muhammad Sohail</t>
  </si>
  <si>
    <t>Gokul Mohan</t>
  </si>
  <si>
    <t>ACP Lamination Operator</t>
  </si>
  <si>
    <t>Muhammad Hanzlah Awan</t>
  </si>
  <si>
    <t>Yasa Rakesh</t>
  </si>
  <si>
    <t>LGS Detailer</t>
  </si>
  <si>
    <t>Karan Kumar</t>
  </si>
  <si>
    <t>Dheeraj</t>
  </si>
  <si>
    <t>Muhammad Zohaib Haider</t>
  </si>
  <si>
    <t>Shaheen Siraj Hunerkar</t>
  </si>
  <si>
    <t>MEP Draftsman</t>
  </si>
  <si>
    <t>Mohammad Salman</t>
  </si>
  <si>
    <t>Purchase Executive</t>
  </si>
  <si>
    <t>Joyce V Camposano</t>
  </si>
  <si>
    <t>Project Coordinator</t>
  </si>
  <si>
    <t>Abu thahir</t>
  </si>
  <si>
    <t>Project Manager</t>
  </si>
  <si>
    <t>Imran Ali</t>
  </si>
  <si>
    <t>Customs Officer</t>
  </si>
  <si>
    <t>Sheikdawood Navaskhan</t>
  </si>
  <si>
    <t>Mohd Abran Arif</t>
  </si>
  <si>
    <t>Sayuri Bhagyawi Jayarathna</t>
  </si>
  <si>
    <t>Sponsorship Manager</t>
  </si>
  <si>
    <t>Kuthbudeen Shaik Allaudeen</t>
  </si>
  <si>
    <t xml:space="preserve">Trailer Driver </t>
  </si>
  <si>
    <t>Nitheesh PV</t>
  </si>
  <si>
    <t>Mohammed Sharique Anwar</t>
  </si>
  <si>
    <t>Pradeep Kozhundil</t>
  </si>
  <si>
    <t>Deepak Sasidhara Panicker</t>
  </si>
  <si>
    <t>Mosim Khan</t>
  </si>
  <si>
    <t>Senior Supervisor</t>
  </si>
  <si>
    <t>Samreen Mansoor Syed</t>
  </si>
  <si>
    <t>Front Office Executive</t>
  </si>
  <si>
    <t>Sandeep Kumar Verma</t>
  </si>
  <si>
    <t>Assistant Manager QC/CCL</t>
  </si>
  <si>
    <t>Midhun Parambathe Purayil</t>
  </si>
  <si>
    <t>Mohd Hafeezurrahman</t>
  </si>
  <si>
    <t>Imaad Ali Khan</t>
  </si>
  <si>
    <t>Clement L Stremel</t>
  </si>
  <si>
    <t>General Manager</t>
  </si>
  <si>
    <t>Sarfaraz Khan</t>
  </si>
  <si>
    <t>Commercial Manager</t>
  </si>
  <si>
    <t>Paras Kumar Rakesh Kumar</t>
  </si>
  <si>
    <t>Satish Chandher Balwinder</t>
  </si>
  <si>
    <t>Vijay Kumar Des Raj</t>
  </si>
  <si>
    <t>Nitesh Kumar</t>
  </si>
  <si>
    <t>CCL operator</t>
  </si>
  <si>
    <t>Moji Ram</t>
  </si>
  <si>
    <t>Motius Micheal</t>
  </si>
  <si>
    <t>Sachin Kumar Lakhan Singh</t>
  </si>
  <si>
    <t>Bijeeshkumar Valladiyil Gopi</t>
  </si>
  <si>
    <t>Vipin Ponnumani</t>
  </si>
  <si>
    <t>MD Ramjan Mrodha</t>
  </si>
  <si>
    <t>Shais Tomy</t>
  </si>
  <si>
    <t>QC Coordinator</t>
  </si>
  <si>
    <t>Nicole Anne Bacay</t>
  </si>
  <si>
    <t>Sakhawat Ali</t>
  </si>
  <si>
    <t>Tile/Marble Mason</t>
  </si>
  <si>
    <t>Sarfaraj Mohammad Yusuf</t>
  </si>
  <si>
    <t>Finishing Mason</t>
  </si>
  <si>
    <t>Mohammed Ehsan</t>
  </si>
  <si>
    <t>Annual Leave Balance</t>
  </si>
  <si>
    <t>Zabiullah Khan</t>
  </si>
  <si>
    <t>29/02/25</t>
  </si>
  <si>
    <t>EML</t>
  </si>
  <si>
    <t>AL</t>
  </si>
  <si>
    <t xml:space="preserve">Thoyyiba </t>
  </si>
  <si>
    <t>Sick Levae</t>
  </si>
  <si>
    <t>Total Days</t>
  </si>
  <si>
    <t>Service Days</t>
  </si>
  <si>
    <t>EXT Day</t>
  </si>
  <si>
    <t xml:space="preserve">Elgible </t>
  </si>
  <si>
    <t>As On</t>
  </si>
  <si>
    <t>Mohammad Mansoor Abdulrahman Younus Khadim</t>
  </si>
  <si>
    <t>Muhammad Tauqeer</t>
  </si>
  <si>
    <t>Venkatesh Nimmarajula</t>
  </si>
  <si>
    <t>Thoyyiba Mohammed Nishami</t>
  </si>
  <si>
    <t>Dharmalingam Ramalingam</t>
  </si>
  <si>
    <t>Jagadeesh Sethu</t>
  </si>
  <si>
    <t>Maninder Singh</t>
  </si>
  <si>
    <t>Abdurrahaman</t>
  </si>
  <si>
    <t>Md Atikur Rahman</t>
  </si>
  <si>
    <t>Rajesh Thapa</t>
  </si>
  <si>
    <t>Abid Hussain</t>
  </si>
  <si>
    <t>Madhav Kumar Yadav</t>
  </si>
  <si>
    <t>Makesh Sali Rajan</t>
  </si>
  <si>
    <t>Sarath Ravali Valappil</t>
  </si>
  <si>
    <t>Sony Mohan</t>
  </si>
  <si>
    <t>Kamlesh Kumar</t>
  </si>
  <si>
    <t>Indresh Kumar</t>
  </si>
  <si>
    <t>Ali Wajiuddin</t>
  </si>
  <si>
    <t>Lenie Amul Quilapio</t>
  </si>
  <si>
    <t>Gardyawasam Thanthulage Mohith Christopher De Silva</t>
  </si>
  <si>
    <t>Ashok</t>
  </si>
  <si>
    <t>Jasvant</t>
  </si>
  <si>
    <t>Arvind</t>
  </si>
  <si>
    <t>Ram Janam Paswan</t>
  </si>
  <si>
    <t>Prashant Kumar Singh</t>
  </si>
  <si>
    <t>Nyzza Angelica Malapo</t>
  </si>
  <si>
    <t xml:space="preserve">Adharsh Kaniyacheri Prakashan </t>
  </si>
  <si>
    <t>Shyali Sri Tushangika Madavita Patabandige</t>
  </si>
  <si>
    <t>Thouseef Madamulla Kovummal</t>
  </si>
  <si>
    <t xml:space="preserve">Manish Kumar </t>
  </si>
  <si>
    <t>Shaikh Mohammed</t>
  </si>
  <si>
    <t>Ravinder Kumar</t>
  </si>
  <si>
    <t>Akashdeep Singh</t>
  </si>
  <si>
    <t>Sajan</t>
  </si>
  <si>
    <t>Vikas</t>
  </si>
  <si>
    <t>Thanvi Shameer</t>
  </si>
  <si>
    <t>Honest Gcwalisile Nylika</t>
  </si>
  <si>
    <t>Pawan</t>
  </si>
  <si>
    <t>Surendra Nishad</t>
  </si>
  <si>
    <t>Kuldeep Singh</t>
  </si>
  <si>
    <t>Rajendra Kumar</t>
  </si>
  <si>
    <t>Abitha Biju</t>
  </si>
  <si>
    <t xml:space="preserve">Sunny </t>
  </si>
  <si>
    <t>Ankit Kumar</t>
  </si>
  <si>
    <t>Mohammed Al Sweethu Parappurath Allinkeezhil</t>
  </si>
  <si>
    <t>Kuldeep Singh Krishan Kumar</t>
  </si>
  <si>
    <t>Vijay Singh</t>
  </si>
  <si>
    <t>Khim Singh</t>
  </si>
  <si>
    <t>Keval Singh</t>
  </si>
  <si>
    <t>Akshay Kumar</t>
  </si>
  <si>
    <t>Akhilesh Anil More</t>
  </si>
  <si>
    <t>Noor Mohd Ansar</t>
  </si>
  <si>
    <t xml:space="preserve">Rahul Verma </t>
  </si>
  <si>
    <t>Awadhesh Yadav</t>
  </si>
  <si>
    <t>Arjun Gaur</t>
  </si>
  <si>
    <t>Jino Joy</t>
  </si>
  <si>
    <t>Anto Phinonson</t>
  </si>
  <si>
    <t>Sajid Noor Mohammed</t>
  </si>
  <si>
    <t>Henry Peter</t>
  </si>
  <si>
    <t xml:space="preserve">Jessica Ann-Marie Burgess </t>
  </si>
  <si>
    <t>Sowmiya Subramaniyan</t>
  </si>
  <si>
    <t>Ali Aamir</t>
  </si>
  <si>
    <t>Badruddin</t>
  </si>
  <si>
    <t>Riyazul Haque</t>
  </si>
  <si>
    <t>Sandeep Kumar Yadav</t>
  </si>
  <si>
    <t>Subrati</t>
  </si>
  <si>
    <t>Public Relations Officer</t>
  </si>
  <si>
    <t>Estimation Engineer</t>
  </si>
  <si>
    <t>Store Keeper</t>
  </si>
  <si>
    <t>Finishing Carpenter</t>
  </si>
  <si>
    <t>Senior Site Engineer</t>
  </si>
  <si>
    <t>IT Assistant</t>
  </si>
  <si>
    <t>Metalplast Visa Holder</t>
  </si>
  <si>
    <t xml:space="preserve"> Helper</t>
  </si>
  <si>
    <t>Exit Operator</t>
  </si>
  <si>
    <t>Group Head- HR Business Partnering</t>
  </si>
  <si>
    <t>Project Director</t>
  </si>
  <si>
    <t xml:space="preserve"> Reception cum Marketing Intern</t>
  </si>
  <si>
    <t>HR Executive</t>
  </si>
  <si>
    <t>Structural Engineer</t>
  </si>
  <si>
    <t>Chef</t>
  </si>
  <si>
    <t>HSE Engineer</t>
  </si>
  <si>
    <t>Site Supervisor</t>
  </si>
  <si>
    <t>Painter</t>
  </si>
  <si>
    <t xml:space="preserve"> </t>
  </si>
  <si>
    <t>Leave taken in 2025</t>
  </si>
  <si>
    <t>Balance</t>
  </si>
  <si>
    <t>Ben Nitin Ezhil</t>
  </si>
  <si>
    <t>CEO - Mulk Properties</t>
  </si>
  <si>
    <t xml:space="preserve">Syed Mushtaq Ahamad </t>
  </si>
  <si>
    <t>Remarks</t>
  </si>
  <si>
    <t>Applied as emergency HR consider since leave balance more than 45 Days</t>
  </si>
  <si>
    <t>Annual leave</t>
  </si>
  <si>
    <t>change to medical leave 10 and annual leave 8</t>
  </si>
  <si>
    <t>Emergency leave</t>
  </si>
  <si>
    <t>Remanrk</t>
  </si>
  <si>
    <t>Requested from thouseef</t>
  </si>
  <si>
    <t>Requested from thouseef to extend</t>
  </si>
  <si>
    <t>Due to Wife medical condition document submitted</t>
  </si>
  <si>
    <t>Annual Levae</t>
  </si>
  <si>
    <t>Overstay</t>
  </si>
  <si>
    <t xml:space="preserve">Annual Levae </t>
  </si>
  <si>
    <t xml:space="preserve">Annual leave </t>
  </si>
  <si>
    <t xml:space="preserve">Sony Mohan </t>
  </si>
  <si>
    <t xml:space="preserve">Sick Leave </t>
  </si>
  <si>
    <t>Nyzza</t>
  </si>
  <si>
    <t>SUNNY JAIPAL</t>
  </si>
  <si>
    <t xml:space="preserve">Sarath </t>
  </si>
  <si>
    <t xml:space="preserve">Ummrah </t>
  </si>
  <si>
    <t xml:space="preserve">Kuldeep Singh </t>
  </si>
  <si>
    <t>Virendra Singh</t>
  </si>
  <si>
    <t xml:space="preserve">Sanjay Kumar </t>
  </si>
  <si>
    <t>Prasantha Kumar</t>
  </si>
  <si>
    <t>LEAVE EXTENDEND AS PER APPROVAL FROM THOUSEEF</t>
  </si>
  <si>
    <t xml:space="preserve">Laxman Armoori </t>
  </si>
  <si>
    <t xml:space="preserve">Jagedeesh </t>
  </si>
  <si>
    <t>Umrah</t>
  </si>
  <si>
    <t xml:space="preserve">Chanaka </t>
  </si>
  <si>
    <t xml:space="preserve">Thousef received mail regading the prior approval for extended days </t>
  </si>
  <si>
    <t>Govindu Ari</t>
  </si>
  <si>
    <t>Jafar Ali</t>
  </si>
  <si>
    <t>Madhavkumar</t>
  </si>
  <si>
    <t>Umrah Leave</t>
  </si>
  <si>
    <t xml:space="preserve">Abdurrahman </t>
  </si>
  <si>
    <t>as on Apr 44</t>
  </si>
  <si>
    <t>2471</t>
  </si>
  <si>
    <t>2798</t>
  </si>
  <si>
    <t>1402</t>
  </si>
  <si>
    <t>2636</t>
  </si>
  <si>
    <t xml:space="preserve">khushali </t>
  </si>
  <si>
    <t xml:space="preserve">SANJOGA THAPA </t>
  </si>
  <si>
    <t>1884</t>
  </si>
  <si>
    <t>231</t>
  </si>
  <si>
    <t>2726</t>
  </si>
  <si>
    <t>Rashid Sheikh</t>
  </si>
  <si>
    <t>Md ramjan Mrodha</t>
  </si>
  <si>
    <t>Arrears on Feb will be deducted in in May Payroll</t>
  </si>
  <si>
    <t>Anuual Leave</t>
  </si>
  <si>
    <t>Sanjay Kumar</t>
  </si>
  <si>
    <t>Hajj Leave</t>
  </si>
  <si>
    <t>Joyson Jose Dsouza</t>
  </si>
  <si>
    <t>Communicated clearly to rejoin on time, otherwise will issue warning letter</t>
  </si>
  <si>
    <t>Unpaid Leave</t>
  </si>
  <si>
    <t>Muhammad Sanif</t>
  </si>
  <si>
    <t>Emergancy Leave</t>
  </si>
  <si>
    <t>Mostafa Ala Kamal</t>
  </si>
  <si>
    <t>Shiv Pal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</si>
</sst>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C09]dd/mm/yyyy;@"/>
    <numFmt numFmtId="165" formatCode="dd/mm/yy"/>
  </numFmts>
  <fonts count="1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</font>
    <font>
      <b/>
      <sz val="11"/>
      <color rgb="FF9C0006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sz val="10"/>
      <color indexed="8"/>
      <name val="Arial"/>
      <family val="2"/>
    </font>
    <font>
      <b/>
      <sz val="28"/>
      <color rgb="FFFFFFFF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B8A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theme="0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</borders>
  <cellStyleXfs count="3">
    <xf numFmtId="0" fontId="0" fillId="0" borderId="0"/>
    <xf numFmtId="0" fontId="11" fillId="0" borderId="0">
      <alignment vertical="top"/>
    </xf>
    <xf numFmtId="0" fontId="13" fillId="0" borderId="0"/>
  </cellStyleXfs>
  <cellXfs count="7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7" fillId="0" borderId="1" xfId="0" applyFont="1" applyBorder="1"/>
    <xf numFmtId="14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14" fontId="0" fillId="0" borderId="2" xfId="0" applyNumberFormat="1" applyBorder="1"/>
    <xf numFmtId="14" fontId="0" fillId="0" borderId="2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64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0" fillId="0" borderId="7" xfId="0" applyBorder="1"/>
    <xf numFmtId="14" fontId="0" fillId="0" borderId="7" xfId="0" applyNumberFormat="1" applyBorder="1"/>
    <xf numFmtId="14" fontId="0" fillId="0" borderId="1" xfId="0" applyNumberFormat="1" applyBorder="1" applyAlignment="1">
      <alignment horizontal="center"/>
    </xf>
    <xf numFmtId="0" fontId="10" fillId="7" borderId="8" xfId="0" applyFont="1" applyFill="1" applyBorder="1" applyAlignment="1">
      <alignment horizontal="center" vertical="center"/>
    </xf>
    <xf numFmtId="0" fontId="0" fillId="0" borderId="9" xfId="0" applyBorder="1"/>
    <xf numFmtId="14" fontId="4" fillId="0" borderId="8" xfId="0" applyNumberFormat="1" applyFont="1" applyBorder="1" applyAlignment="1">
      <alignment horizontal="center" vertical="center"/>
    </xf>
    <xf numFmtId="14" fontId="0" fillId="0" borderId="0" xfId="0" applyNumberFormat="1"/>
    <xf numFmtId="0" fontId="0" fillId="10" borderId="1" xfId="0" applyFill="1" applyBorder="1" applyAlignment="1">
      <alignment horizontal="left" vertical="center"/>
    </xf>
    <xf numFmtId="14" fontId="0" fillId="8" borderId="10" xfId="0" applyNumberFormat="1" applyFill="1" applyBorder="1"/>
    <xf numFmtId="14" fontId="0" fillId="9" borderId="10" xfId="0" applyNumberFormat="1" applyFill="1" applyBorder="1"/>
    <xf numFmtId="14" fontId="0" fillId="9" borderId="1" xfId="0" applyNumberFormat="1" applyFill="1" applyBorder="1"/>
    <xf numFmtId="14" fontId="0" fillId="8" borderId="1" xfId="0" applyNumberFormat="1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/>
    </xf>
    <xf numFmtId="14" fontId="0" fillId="11" borderId="1" xfId="0" applyNumberFormat="1" applyFill="1" applyBorder="1"/>
    <xf numFmtId="14" fontId="0" fillId="11" borderId="1" xfId="0" applyNumberForma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1" xfId="0" applyNumberFormat="1" applyBorder="1"/>
    <xf numFmtId="164" fontId="0" fillId="0" borderId="7" xfId="0" applyNumberFormat="1" applyBorder="1"/>
    <xf numFmtId="164" fontId="0" fillId="0" borderId="0" xfId="0" applyNumberFormat="1"/>
    <xf numFmtId="164" fontId="0" fillId="11" borderId="1" xfId="0" applyNumberFormat="1" applyFill="1" applyBorder="1"/>
    <xf numFmtId="0" fontId="5" fillId="12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3">
    <cellStyle name="Excel Built-in Normal" xfId="2" xr:uid="{60E84EA0-DBAC-4D5E-A665-71391430778E}"/>
    <cellStyle name="Normal" xfId="0" builtinId="0"/>
    <cellStyle name="Normal 3" xfId="1" xr:uid="{5F8CE1C3-70BA-4B8F-831F-004689DF64A3}"/>
  </cellStyles>
  <dxfs count="51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24994659260841701"/>
        </pattern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ont>
        <color rgb="FF9C0006"/>
      </font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patternFill>
          <bgColor theme="9" tint="0.39994506668294322"/>
        </patternFill>
      </fill>
    </dxf>
    <dxf>
      <fill>
        <gradientFill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65" formatCode="dd/mm/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[$-14C09]dd/m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100\hr\Users\SWEETHU\AppData\Local\Temp\94356ce2-a7eb-46e7-9f1a-2153bc266051_Leave%20Record.zip.Leave%20Record.zip\Leave%20Balance%20for%20Emp\Copy%20of%20leave%20report%2031-12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ejoining Record"/>
      <sheetName val="Sheet1"/>
      <sheetName val="Sheet6"/>
      <sheetName val="Sheet5"/>
      <sheetName val="Revised AL"/>
      <sheetName val="Sheet7"/>
      <sheetName val="Master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>
            <v>14</v>
          </cell>
          <cell r="B2" t="str">
            <v>10EMP0014</v>
          </cell>
          <cell r="C2" t="str">
            <v>Afroz Ali Khan Khan</v>
          </cell>
          <cell r="D2" t="str">
            <v>Cashier</v>
          </cell>
          <cell r="E2" t="str">
            <v>Staff</v>
          </cell>
          <cell r="F2" t="str">
            <v>Alubond Middle East FZC</v>
          </cell>
          <cell r="G2" t="str">
            <v>MH Shared Services</v>
          </cell>
          <cell r="H2" t="str">
            <v>Finance &amp; Accounts</v>
          </cell>
          <cell r="I2">
            <v>39221</v>
          </cell>
          <cell r="J2">
            <v>6436</v>
          </cell>
          <cell r="K2">
            <v>6378</v>
          </cell>
          <cell r="L2">
            <v>45657</v>
          </cell>
          <cell r="M2">
            <v>53</v>
          </cell>
          <cell r="N2">
            <v>5</v>
          </cell>
          <cell r="O2">
            <v>531.5</v>
          </cell>
          <cell r="P2">
            <v>434</v>
          </cell>
          <cell r="Q2">
            <v>97.5</v>
          </cell>
        </row>
        <row r="3">
          <cell r="A3">
            <v>22</v>
          </cell>
          <cell r="B3" t="str">
            <v>10EMP0022</v>
          </cell>
          <cell r="C3" t="str">
            <v>Alamgir Hossin Mohammed Sattar</v>
          </cell>
          <cell r="D3" t="str">
            <v>Carpenter</v>
          </cell>
          <cell r="E3" t="str">
            <v>Worker</v>
          </cell>
          <cell r="F3" t="str">
            <v>Eurocon Building Induastries LLC</v>
          </cell>
          <cell r="G3" t="str">
            <v>Supply Chain (Eurocon)</v>
          </cell>
          <cell r="H3" t="str">
            <v>Supply Chain - Warehouse</v>
          </cell>
          <cell r="I3">
            <v>38298</v>
          </cell>
          <cell r="J3">
            <v>7359</v>
          </cell>
          <cell r="K3">
            <v>7267</v>
          </cell>
          <cell r="L3">
            <v>45657</v>
          </cell>
          <cell r="M3">
            <v>92</v>
          </cell>
          <cell r="N3">
            <v>0</v>
          </cell>
          <cell r="O3">
            <v>605.58333333333326</v>
          </cell>
          <cell r="P3">
            <v>473</v>
          </cell>
          <cell r="Q3">
            <v>132.58333333333326</v>
          </cell>
        </row>
        <row r="4">
          <cell r="A4">
            <v>23</v>
          </cell>
          <cell r="B4" t="str">
            <v>10EMP0023</v>
          </cell>
          <cell r="C4" t="str">
            <v>Amanutullah Khan</v>
          </cell>
          <cell r="D4" t="str">
            <v>Aluminium Fabricator</v>
          </cell>
          <cell r="E4" t="str">
            <v>Worker</v>
          </cell>
          <cell r="F4" t="str">
            <v>Metalplast Industries FZE</v>
          </cell>
          <cell r="G4" t="str">
            <v>Mulk Manufacture &amp; Retail LLC</v>
          </cell>
          <cell r="H4" t="str">
            <v>Mulk Manufacture &amp; Retail LLC</v>
          </cell>
          <cell r="I4">
            <v>39277</v>
          </cell>
          <cell r="J4">
            <v>6380</v>
          </cell>
          <cell r="K4">
            <v>6202</v>
          </cell>
          <cell r="L4">
            <v>45657</v>
          </cell>
          <cell r="M4">
            <v>178</v>
          </cell>
          <cell r="N4">
            <v>0</v>
          </cell>
          <cell r="O4">
            <v>516.83333333333337</v>
          </cell>
          <cell r="P4">
            <v>343</v>
          </cell>
          <cell r="Q4">
            <v>173.83333333333337</v>
          </cell>
        </row>
        <row r="5">
          <cell r="A5">
            <v>34</v>
          </cell>
          <cell r="B5" t="str">
            <v>10EMP0034</v>
          </cell>
          <cell r="C5" t="str">
            <v>Ashok Kumar Lekhu Ram</v>
          </cell>
          <cell r="D5" t="str">
            <v>Online QC</v>
          </cell>
          <cell r="E5" t="str">
            <v>Worker</v>
          </cell>
          <cell r="F5" t="str">
            <v>Alubond Middle East FZC</v>
          </cell>
          <cell r="G5" t="str">
            <v>QC (Eurocon)</v>
          </cell>
          <cell r="H5" t="str">
            <v>QC (ACP)</v>
          </cell>
          <cell r="I5">
            <v>39508</v>
          </cell>
          <cell r="J5">
            <v>6149</v>
          </cell>
          <cell r="K5">
            <v>5799</v>
          </cell>
          <cell r="L5">
            <v>45657</v>
          </cell>
          <cell r="M5">
            <v>309</v>
          </cell>
          <cell r="N5">
            <v>41</v>
          </cell>
          <cell r="O5">
            <v>483.25</v>
          </cell>
          <cell r="P5">
            <v>480</v>
          </cell>
          <cell r="Q5">
            <v>3.25</v>
          </cell>
        </row>
        <row r="6">
          <cell r="A6">
            <v>41</v>
          </cell>
          <cell r="B6" t="str">
            <v>10EMP0041</v>
          </cell>
          <cell r="C6" t="str">
            <v>Babuu Ansar Ali</v>
          </cell>
          <cell r="D6" t="str">
            <v>Extruder Operator</v>
          </cell>
          <cell r="E6" t="str">
            <v>Worker</v>
          </cell>
          <cell r="F6" t="str">
            <v>Eurocon Building Induastries LLC</v>
          </cell>
          <cell r="G6" t="str">
            <v>ACP</v>
          </cell>
          <cell r="H6" t="str">
            <v>Production (ACP)</v>
          </cell>
          <cell r="I6">
            <v>38361</v>
          </cell>
          <cell r="J6">
            <v>7296</v>
          </cell>
          <cell r="K6">
            <v>7225</v>
          </cell>
          <cell r="L6">
            <v>45657</v>
          </cell>
          <cell r="M6">
            <v>71</v>
          </cell>
          <cell r="N6">
            <v>0</v>
          </cell>
          <cell r="O6">
            <v>602.08333333333326</v>
          </cell>
          <cell r="P6">
            <v>603</v>
          </cell>
          <cell r="Q6">
            <v>-0.91666666666674246</v>
          </cell>
        </row>
        <row r="7">
          <cell r="A7">
            <v>67</v>
          </cell>
          <cell r="B7" t="str">
            <v>10EMP0067</v>
          </cell>
          <cell r="C7" t="str">
            <v>Esoj Jose</v>
          </cell>
          <cell r="D7" t="str">
            <v>Electrical Supervisor</v>
          </cell>
          <cell r="E7" t="str">
            <v>Support Staff</v>
          </cell>
          <cell r="F7" t="str">
            <v>Mulk Holdings FZC</v>
          </cell>
          <cell r="G7" t="str">
            <v>Plant Maintenance</v>
          </cell>
          <cell r="H7" t="str">
            <v>Maintenance (ACP)</v>
          </cell>
          <cell r="I7">
            <v>39358</v>
          </cell>
          <cell r="J7">
            <v>6299</v>
          </cell>
          <cell r="K7">
            <v>6189</v>
          </cell>
          <cell r="L7">
            <v>45657</v>
          </cell>
          <cell r="M7">
            <v>52</v>
          </cell>
          <cell r="N7">
            <v>58</v>
          </cell>
          <cell r="O7">
            <v>515.75</v>
          </cell>
          <cell r="P7">
            <v>382</v>
          </cell>
          <cell r="Q7">
            <v>133.75</v>
          </cell>
        </row>
        <row r="8">
          <cell r="A8">
            <v>68</v>
          </cell>
          <cell r="B8" t="str">
            <v>10EMP0068</v>
          </cell>
          <cell r="C8" t="str">
            <v>Esrafil Patu Ali</v>
          </cell>
          <cell r="D8" t="str">
            <v>Mason</v>
          </cell>
          <cell r="E8" t="str">
            <v>Worker</v>
          </cell>
          <cell r="F8" t="str">
            <v>Alubond Middle East FZC</v>
          </cell>
          <cell r="G8" t="str">
            <v>Metalplast</v>
          </cell>
          <cell r="H8" t="str">
            <v>Metal Plast  - A2 Core Production</v>
          </cell>
          <cell r="I8">
            <v>38980</v>
          </cell>
          <cell r="J8">
            <v>6677</v>
          </cell>
          <cell r="K8">
            <v>6676</v>
          </cell>
          <cell r="L8">
            <v>45657</v>
          </cell>
          <cell r="M8">
            <v>1</v>
          </cell>
          <cell r="N8">
            <v>0</v>
          </cell>
          <cell r="O8">
            <v>556.33333333333337</v>
          </cell>
          <cell r="P8">
            <v>329</v>
          </cell>
          <cell r="Q8">
            <v>227.33333333333337</v>
          </cell>
        </row>
        <row r="9">
          <cell r="A9">
            <v>81</v>
          </cell>
          <cell r="B9" t="str">
            <v>10EMP0081</v>
          </cell>
          <cell r="C9" t="str">
            <v>Gulak Sutradhar Babu Lal</v>
          </cell>
          <cell r="D9" t="str">
            <v>Foreman</v>
          </cell>
          <cell r="E9" t="str">
            <v>Worker</v>
          </cell>
          <cell r="F9" t="str">
            <v>Eurocon Building Induastries LLC</v>
          </cell>
          <cell r="G9" t="str">
            <v>ACP</v>
          </cell>
          <cell r="H9" t="str">
            <v>Production (ACP)</v>
          </cell>
          <cell r="I9">
            <v>38361</v>
          </cell>
          <cell r="J9">
            <v>7296</v>
          </cell>
          <cell r="K9">
            <v>7276</v>
          </cell>
          <cell r="L9">
            <v>45657</v>
          </cell>
          <cell r="M9">
            <v>20</v>
          </cell>
          <cell r="N9">
            <v>0</v>
          </cell>
          <cell r="O9">
            <v>606.33333333333337</v>
          </cell>
          <cell r="P9">
            <v>327</v>
          </cell>
          <cell r="Q9">
            <v>279.33333333333337</v>
          </cell>
        </row>
        <row r="10">
          <cell r="A10">
            <v>93</v>
          </cell>
          <cell r="B10" t="str">
            <v>10EMP0093</v>
          </cell>
          <cell r="C10" t="str">
            <v>Esmaeil Hassan Rahideh</v>
          </cell>
          <cell r="D10" t="str">
            <v>Group Director – Legal &amp; Communications</v>
          </cell>
          <cell r="E10" t="str">
            <v>Staff</v>
          </cell>
          <cell r="F10" t="str">
            <v>Mulk Holdings FZC</v>
          </cell>
          <cell r="G10" t="str">
            <v>MH Shared Services</v>
          </cell>
          <cell r="H10" t="str">
            <v>Legal, PR &amp; Media</v>
          </cell>
          <cell r="I10">
            <v>39480</v>
          </cell>
          <cell r="J10">
            <v>6177</v>
          </cell>
          <cell r="K10">
            <v>6146</v>
          </cell>
          <cell r="L10">
            <v>45657</v>
          </cell>
          <cell r="M10">
            <v>31</v>
          </cell>
          <cell r="N10">
            <v>0</v>
          </cell>
          <cell r="O10">
            <v>512.16666666666674</v>
          </cell>
          <cell r="P10">
            <v>211</v>
          </cell>
          <cell r="Q10">
            <v>301.16666666666674</v>
          </cell>
        </row>
        <row r="11">
          <cell r="A11">
            <v>102</v>
          </cell>
          <cell r="B11" t="str">
            <v>10EMP0102</v>
          </cell>
          <cell r="C11" t="str">
            <v>Jayesh Krishnan Gopalakrishnan</v>
          </cell>
          <cell r="D11" t="str">
            <v xml:space="preserve">Sales Executive </v>
          </cell>
          <cell r="E11" t="str">
            <v>Staff</v>
          </cell>
          <cell r="F11" t="str">
            <v>Alubond Middle East FZC</v>
          </cell>
          <cell r="G11" t="str">
            <v>Sales &amp; Marketing</v>
          </cell>
          <cell r="H11" t="str">
            <v>Sales &amp; Marketing</v>
          </cell>
          <cell r="I11">
            <v>38964</v>
          </cell>
          <cell r="J11">
            <v>6693</v>
          </cell>
          <cell r="K11">
            <v>6669</v>
          </cell>
          <cell r="L11">
            <v>45657</v>
          </cell>
          <cell r="M11">
            <v>7</v>
          </cell>
          <cell r="N11">
            <v>17</v>
          </cell>
          <cell r="O11">
            <v>555.75</v>
          </cell>
          <cell r="P11">
            <v>450</v>
          </cell>
          <cell r="Q11">
            <v>105.75</v>
          </cell>
        </row>
        <row r="12">
          <cell r="A12">
            <v>116</v>
          </cell>
          <cell r="B12" t="str">
            <v>10EMP0116</v>
          </cell>
          <cell r="C12" t="str">
            <v>Khorshed Sheikh Nurul Islam</v>
          </cell>
          <cell r="D12" t="str">
            <v>FR Helper Line 3</v>
          </cell>
          <cell r="E12" t="str">
            <v>Worker</v>
          </cell>
          <cell r="F12" t="str">
            <v>Metalplast Industries FZE</v>
          </cell>
          <cell r="G12" t="str">
            <v>Metalplast</v>
          </cell>
          <cell r="H12" t="str">
            <v>Metalplast Production</v>
          </cell>
          <cell r="I12">
            <v>39455</v>
          </cell>
          <cell r="J12">
            <v>6202</v>
          </cell>
          <cell r="K12">
            <v>6124</v>
          </cell>
          <cell r="L12">
            <v>45657</v>
          </cell>
          <cell r="M12">
            <v>78</v>
          </cell>
          <cell r="N12">
            <v>0</v>
          </cell>
          <cell r="O12">
            <v>510.33333333333337</v>
          </cell>
          <cell r="P12">
            <v>305</v>
          </cell>
          <cell r="Q12">
            <v>205.33333333333337</v>
          </cell>
        </row>
        <row r="13">
          <cell r="A13">
            <v>142</v>
          </cell>
          <cell r="B13" t="str">
            <v>10EMP0142</v>
          </cell>
          <cell r="C13" t="str">
            <v>Mary Jaya Francis</v>
          </cell>
          <cell r="D13" t="str">
            <v>Executive Manager – Chairman’s Office</v>
          </cell>
          <cell r="E13" t="str">
            <v>Staff</v>
          </cell>
          <cell r="F13" t="str">
            <v>Eurocon Building Induastries LLC</v>
          </cell>
          <cell r="G13" t="str">
            <v>MH Shared Services</v>
          </cell>
          <cell r="H13" t="str">
            <v>Management Office</v>
          </cell>
          <cell r="I13">
            <v>38936</v>
          </cell>
          <cell r="J13">
            <v>6721</v>
          </cell>
          <cell r="K13">
            <v>6721</v>
          </cell>
          <cell r="L13">
            <v>45657</v>
          </cell>
          <cell r="M13">
            <v>0</v>
          </cell>
          <cell r="N13">
            <v>0</v>
          </cell>
          <cell r="O13">
            <v>560.08333333333337</v>
          </cell>
          <cell r="P13">
            <v>321</v>
          </cell>
          <cell r="Q13">
            <v>239.08333333333337</v>
          </cell>
        </row>
        <row r="14">
          <cell r="A14">
            <v>147</v>
          </cell>
          <cell r="B14" t="str">
            <v>10EMP0147</v>
          </cell>
          <cell r="C14" t="str">
            <v xml:space="preserve">Md Mosharaf Hossain </v>
          </cell>
          <cell r="D14" t="str">
            <v>Production Supervisor</v>
          </cell>
          <cell r="E14" t="str">
            <v>Support Staff</v>
          </cell>
          <cell r="F14" t="str">
            <v>Eurocon Building Induastries LLC</v>
          </cell>
          <cell r="G14" t="str">
            <v>ACP</v>
          </cell>
          <cell r="H14" t="str">
            <v>Production (ACP)</v>
          </cell>
          <cell r="I14">
            <v>39370</v>
          </cell>
          <cell r="J14">
            <v>6287</v>
          </cell>
          <cell r="K14">
            <v>6244</v>
          </cell>
          <cell r="L14">
            <v>45657</v>
          </cell>
          <cell r="M14">
            <v>43</v>
          </cell>
          <cell r="N14">
            <v>0</v>
          </cell>
          <cell r="O14">
            <v>520.33333333333337</v>
          </cell>
          <cell r="P14">
            <v>377</v>
          </cell>
          <cell r="Q14">
            <v>143.33333333333337</v>
          </cell>
        </row>
        <row r="15">
          <cell r="A15">
            <v>166</v>
          </cell>
          <cell r="B15" t="str">
            <v>10EMP0166</v>
          </cell>
          <cell r="C15" t="str">
            <v>Muhammad Inam Noor Muhammad</v>
          </cell>
          <cell r="D15" t="str">
            <v>Chairman Driver</v>
          </cell>
          <cell r="E15" t="str">
            <v>Support Staff</v>
          </cell>
          <cell r="F15" t="str">
            <v>Mulk Holdings FZC</v>
          </cell>
          <cell r="G15" t="str">
            <v>Management Support Staff</v>
          </cell>
          <cell r="H15" t="str">
            <v>Transport-  Management</v>
          </cell>
          <cell r="I15">
            <v>38976</v>
          </cell>
          <cell r="J15">
            <v>6681</v>
          </cell>
          <cell r="K15">
            <v>6628</v>
          </cell>
          <cell r="L15">
            <v>45657</v>
          </cell>
          <cell r="M15">
            <v>53</v>
          </cell>
          <cell r="N15">
            <v>0</v>
          </cell>
          <cell r="O15">
            <v>552.33333333333337</v>
          </cell>
          <cell r="P15">
            <v>482</v>
          </cell>
          <cell r="Q15">
            <v>70.333333333333371</v>
          </cell>
        </row>
        <row r="16">
          <cell r="A16">
            <v>190</v>
          </cell>
          <cell r="B16" t="str">
            <v>10EMP0190</v>
          </cell>
          <cell r="C16" t="str">
            <v>Nasir Aziz Masih Aziz</v>
          </cell>
          <cell r="D16" t="str">
            <v>Sales Executive / Cricketer</v>
          </cell>
          <cell r="E16" t="str">
            <v>Staff</v>
          </cell>
          <cell r="F16" t="str">
            <v>Alubond Middle East FZC</v>
          </cell>
          <cell r="G16" t="str">
            <v>Sales &amp; Marketing</v>
          </cell>
          <cell r="H16" t="str">
            <v>Sales &amp; Marketing</v>
          </cell>
          <cell r="I16">
            <v>38969</v>
          </cell>
          <cell r="J16">
            <v>6688</v>
          </cell>
          <cell r="K16">
            <v>6658</v>
          </cell>
          <cell r="L16">
            <v>45657</v>
          </cell>
          <cell r="M16">
            <v>6</v>
          </cell>
          <cell r="N16">
            <v>24</v>
          </cell>
          <cell r="O16">
            <v>554.83333333333326</v>
          </cell>
          <cell r="P16">
            <v>348</v>
          </cell>
          <cell r="Q16">
            <v>206.83333333333326</v>
          </cell>
        </row>
        <row r="17">
          <cell r="A17">
            <v>194</v>
          </cell>
          <cell r="B17" t="str">
            <v>10EMP0194</v>
          </cell>
          <cell r="C17" t="str">
            <v>Olyullah Ali Akbor</v>
          </cell>
          <cell r="D17" t="str">
            <v>Supervisor</v>
          </cell>
          <cell r="E17" t="str">
            <v>Support Staff</v>
          </cell>
          <cell r="F17" t="str">
            <v>Metalplast Industries FZE</v>
          </cell>
          <cell r="G17" t="str">
            <v>Supply Chain (Eurocon)</v>
          </cell>
          <cell r="H17" t="str">
            <v>Supply Chain - Warehouse</v>
          </cell>
          <cell r="I17">
            <v>38620</v>
          </cell>
          <cell r="J17">
            <v>7037</v>
          </cell>
          <cell r="K17">
            <v>6896</v>
          </cell>
          <cell r="L17">
            <v>45657</v>
          </cell>
          <cell r="M17">
            <v>141</v>
          </cell>
          <cell r="N17">
            <v>0</v>
          </cell>
          <cell r="O17">
            <v>574.66666666666663</v>
          </cell>
          <cell r="P17">
            <v>332</v>
          </cell>
          <cell r="Q17">
            <v>242.66666666666663</v>
          </cell>
        </row>
        <row r="18">
          <cell r="A18">
            <v>225</v>
          </cell>
          <cell r="B18" t="str">
            <v>10EMP0225</v>
          </cell>
          <cell r="C18" t="str">
            <v>Ravikumar Velayudhan Velayudhan</v>
          </cell>
          <cell r="D18" t="str">
            <v>Production Supervisor</v>
          </cell>
          <cell r="E18" t="str">
            <v>Support Staff</v>
          </cell>
          <cell r="F18" t="str">
            <v>Mulk Holdings FZC</v>
          </cell>
          <cell r="G18" t="str">
            <v>ACP</v>
          </cell>
          <cell r="H18" t="str">
            <v>Production (ACP)</v>
          </cell>
          <cell r="I18">
            <v>39452</v>
          </cell>
          <cell r="J18">
            <v>6205</v>
          </cell>
          <cell r="K18">
            <v>6186</v>
          </cell>
          <cell r="L18">
            <v>45657</v>
          </cell>
          <cell r="M18">
            <v>19</v>
          </cell>
          <cell r="N18">
            <v>0</v>
          </cell>
          <cell r="O18">
            <v>515.5</v>
          </cell>
          <cell r="P18">
            <v>424</v>
          </cell>
          <cell r="Q18">
            <v>91.5</v>
          </cell>
        </row>
        <row r="19">
          <cell r="A19">
            <v>227</v>
          </cell>
          <cell r="B19" t="str">
            <v>10EMP0227</v>
          </cell>
          <cell r="C19" t="str">
            <v>Rezaul Karim Abdur Rouf</v>
          </cell>
          <cell r="D19" t="str">
            <v>Extruder Operator</v>
          </cell>
          <cell r="E19" t="str">
            <v>Worker</v>
          </cell>
          <cell r="F19" t="str">
            <v>Eurocon Building Induastries LLC</v>
          </cell>
          <cell r="G19" t="str">
            <v>ACP</v>
          </cell>
          <cell r="H19" t="str">
            <v>Production (ACP)</v>
          </cell>
          <cell r="I19">
            <v>39365</v>
          </cell>
          <cell r="J19">
            <v>6292</v>
          </cell>
          <cell r="K19">
            <v>5973</v>
          </cell>
          <cell r="L19">
            <v>45657</v>
          </cell>
          <cell r="M19">
            <v>289</v>
          </cell>
          <cell r="N19">
            <v>30</v>
          </cell>
          <cell r="O19">
            <v>497.74999999999994</v>
          </cell>
          <cell r="P19">
            <v>487</v>
          </cell>
          <cell r="Q19">
            <v>10.749999999999943</v>
          </cell>
        </row>
        <row r="20">
          <cell r="A20">
            <v>231</v>
          </cell>
          <cell r="B20" t="str">
            <v>10EMP0231</v>
          </cell>
          <cell r="C20" t="str">
            <v>Roshid Sheikh Taleb Ali Sheikh</v>
          </cell>
          <cell r="D20" t="str">
            <v>Helper</v>
          </cell>
          <cell r="E20" t="str">
            <v>Worker</v>
          </cell>
          <cell r="F20" t="str">
            <v>Alubond Middle East FZC</v>
          </cell>
          <cell r="G20" t="str">
            <v>MH Shared Services</v>
          </cell>
          <cell r="H20" t="str">
            <v>General Maintenance</v>
          </cell>
          <cell r="I20">
            <v>38980</v>
          </cell>
          <cell r="J20">
            <v>6677</v>
          </cell>
          <cell r="K20">
            <v>6579</v>
          </cell>
          <cell r="L20">
            <v>45657</v>
          </cell>
          <cell r="M20">
            <v>98</v>
          </cell>
          <cell r="N20">
            <v>0</v>
          </cell>
          <cell r="O20">
            <v>548.25</v>
          </cell>
          <cell r="P20">
            <v>414</v>
          </cell>
          <cell r="Q20">
            <v>134.25</v>
          </cell>
        </row>
        <row r="21">
          <cell r="A21">
            <v>232</v>
          </cell>
          <cell r="B21" t="str">
            <v>10EMP0232</v>
          </cell>
          <cell r="C21" t="str">
            <v>Ruhul Amin Haian Saiyal</v>
          </cell>
          <cell r="D21" t="str">
            <v>End Cutting Operator</v>
          </cell>
          <cell r="E21" t="str">
            <v>Worker</v>
          </cell>
          <cell r="F21" t="str">
            <v>Alubond Middle East FZC</v>
          </cell>
          <cell r="G21" t="str">
            <v>ACP</v>
          </cell>
          <cell r="H21" t="str">
            <v>Production (ACP)</v>
          </cell>
          <cell r="I21">
            <v>39442</v>
          </cell>
          <cell r="J21">
            <v>6215</v>
          </cell>
          <cell r="K21">
            <v>6126</v>
          </cell>
          <cell r="L21">
            <v>45657</v>
          </cell>
          <cell r="M21">
            <v>89</v>
          </cell>
          <cell r="N21">
            <v>0</v>
          </cell>
          <cell r="O21">
            <v>510.5</v>
          </cell>
          <cell r="P21">
            <v>436</v>
          </cell>
          <cell r="Q21">
            <v>74.5</v>
          </cell>
        </row>
        <row r="22">
          <cell r="A22">
            <v>234</v>
          </cell>
          <cell r="B22" t="str">
            <v>10EMP0234</v>
          </cell>
          <cell r="C22" t="str">
            <v>Saidur Abdul Samad</v>
          </cell>
          <cell r="D22" t="str">
            <v>Lamination Operator</v>
          </cell>
          <cell r="E22" t="str">
            <v>Worker</v>
          </cell>
          <cell r="F22" t="str">
            <v>Eurocon Building Induastries LLC</v>
          </cell>
          <cell r="G22" t="str">
            <v>ACP</v>
          </cell>
          <cell r="H22" t="str">
            <v>Production (ACP)</v>
          </cell>
          <cell r="I22">
            <v>38388</v>
          </cell>
          <cell r="J22">
            <v>7269</v>
          </cell>
          <cell r="K22">
            <v>6889</v>
          </cell>
          <cell r="L22">
            <v>45657</v>
          </cell>
          <cell r="M22">
            <v>349</v>
          </cell>
          <cell r="N22">
            <v>31</v>
          </cell>
          <cell r="O22">
            <v>574.08333333333337</v>
          </cell>
          <cell r="P22">
            <v>467</v>
          </cell>
          <cell r="Q22">
            <v>107.08333333333337</v>
          </cell>
        </row>
        <row r="23">
          <cell r="A23">
            <v>235</v>
          </cell>
          <cell r="B23" t="str">
            <v>10EMP0235</v>
          </cell>
          <cell r="C23" t="str">
            <v>Saiyed Anwar Hussain Rizvi</v>
          </cell>
          <cell r="D23" t="str">
            <v>Senior Manager</v>
          </cell>
          <cell r="E23" t="str">
            <v>Staff</v>
          </cell>
          <cell r="F23" t="str">
            <v>Mulk Holdings FZC</v>
          </cell>
          <cell r="G23" t="str">
            <v>Sales &amp; Marketing</v>
          </cell>
          <cell r="H23" t="str">
            <v>Sales &amp; Marketing</v>
          </cell>
          <cell r="I23">
            <v>38808</v>
          </cell>
          <cell r="J23">
            <v>6849</v>
          </cell>
          <cell r="K23">
            <v>6861</v>
          </cell>
          <cell r="L23">
            <v>45657</v>
          </cell>
          <cell r="M23">
            <v>-12</v>
          </cell>
          <cell r="N23">
            <v>0</v>
          </cell>
          <cell r="O23">
            <v>571.75</v>
          </cell>
          <cell r="P23">
            <v>346</v>
          </cell>
          <cell r="Q23">
            <v>225.75</v>
          </cell>
        </row>
        <row r="24">
          <cell r="A24">
            <v>266</v>
          </cell>
          <cell r="B24" t="str">
            <v>10EMP0266</v>
          </cell>
          <cell r="C24" t="str">
            <v>Shareef Asadullah Muhammad</v>
          </cell>
          <cell r="D24" t="str">
            <v>PR Manager</v>
          </cell>
          <cell r="E24" t="str">
            <v>Staff</v>
          </cell>
          <cell r="F24" t="str">
            <v>Mulk Holdings FZC</v>
          </cell>
          <cell r="G24" t="str">
            <v>MH Shared Services</v>
          </cell>
          <cell r="H24" t="str">
            <v>Legal, PR &amp; Media</v>
          </cell>
          <cell r="I24">
            <v>39337</v>
          </cell>
          <cell r="J24">
            <v>6320</v>
          </cell>
          <cell r="K24">
            <v>6259</v>
          </cell>
          <cell r="L24">
            <v>45657</v>
          </cell>
          <cell r="M24">
            <v>61</v>
          </cell>
          <cell r="N24">
            <v>0</v>
          </cell>
          <cell r="O24">
            <v>521.58333333333337</v>
          </cell>
          <cell r="P24">
            <v>416</v>
          </cell>
          <cell r="Q24">
            <v>105.58333333333337</v>
          </cell>
        </row>
        <row r="25">
          <cell r="A25">
            <v>276</v>
          </cell>
          <cell r="B25" t="str">
            <v>10EMP0276</v>
          </cell>
          <cell r="C25" t="str">
            <v>Shoukath Ahmed Khan</v>
          </cell>
          <cell r="D25" t="str">
            <v>Security Guard</v>
          </cell>
          <cell r="E25" t="str">
            <v>Support Staff</v>
          </cell>
          <cell r="F25" t="str">
            <v>Metalplast Industries FZE</v>
          </cell>
          <cell r="G25" t="str">
            <v>Metalplast</v>
          </cell>
          <cell r="H25" t="str">
            <v>M/P Security</v>
          </cell>
          <cell r="I25">
            <v>39062</v>
          </cell>
          <cell r="J25">
            <v>6595</v>
          </cell>
          <cell r="K25">
            <v>6399</v>
          </cell>
          <cell r="L25">
            <v>45657</v>
          </cell>
          <cell r="M25">
            <v>196</v>
          </cell>
          <cell r="N25">
            <v>0</v>
          </cell>
          <cell r="O25">
            <v>533.25</v>
          </cell>
          <cell r="P25">
            <v>425</v>
          </cell>
          <cell r="Q25">
            <v>108.25</v>
          </cell>
        </row>
        <row r="26">
          <cell r="A26">
            <v>279</v>
          </cell>
          <cell r="B26" t="str">
            <v>10EMP0279</v>
          </cell>
          <cell r="C26" t="str">
            <v>Siful Islam Abdul Samad</v>
          </cell>
          <cell r="D26" t="str">
            <v>Production Supervisor</v>
          </cell>
          <cell r="E26" t="str">
            <v>Support Staff</v>
          </cell>
          <cell r="F26" t="str">
            <v>Eurocon Building Induastries LLC</v>
          </cell>
          <cell r="G26" t="str">
            <v>ACP</v>
          </cell>
          <cell r="H26" t="str">
            <v>Production (ACP)</v>
          </cell>
          <cell r="I26">
            <v>38682</v>
          </cell>
          <cell r="J26">
            <v>6975</v>
          </cell>
          <cell r="K26">
            <v>6838</v>
          </cell>
          <cell r="L26">
            <v>45657</v>
          </cell>
          <cell r="M26">
            <v>90</v>
          </cell>
          <cell r="N26">
            <v>47</v>
          </cell>
          <cell r="O26">
            <v>569.83333333333326</v>
          </cell>
          <cell r="P26">
            <v>588</v>
          </cell>
          <cell r="Q26">
            <v>-18.166666666666742</v>
          </cell>
        </row>
        <row r="27">
          <cell r="A27">
            <v>310</v>
          </cell>
          <cell r="B27" t="str">
            <v>10EMP0310</v>
          </cell>
          <cell r="C27" t="str">
            <v>Vijayalekshmi Neelakanta Pillai Sajeev Kumar</v>
          </cell>
          <cell r="D27" t="str">
            <v>Temporary Forklift Operator</v>
          </cell>
          <cell r="E27" t="str">
            <v>Worker</v>
          </cell>
          <cell r="F27" t="str">
            <v>Metalplast Industries FZE</v>
          </cell>
          <cell r="G27" t="str">
            <v>Mulk Manufacture &amp; Retail LLC</v>
          </cell>
          <cell r="H27" t="str">
            <v>Mulk Manufacture &amp; Retail LLC</v>
          </cell>
          <cell r="I27">
            <v>39061</v>
          </cell>
          <cell r="J27">
            <v>6596</v>
          </cell>
          <cell r="K27">
            <v>6349</v>
          </cell>
          <cell r="L27">
            <v>45657</v>
          </cell>
          <cell r="M27">
            <v>247</v>
          </cell>
          <cell r="N27">
            <v>0</v>
          </cell>
          <cell r="O27">
            <v>529.08333333333337</v>
          </cell>
          <cell r="P27">
            <v>542</v>
          </cell>
          <cell r="Q27">
            <v>-12.916666666666629</v>
          </cell>
        </row>
        <row r="28">
          <cell r="A28">
            <v>331</v>
          </cell>
          <cell r="B28" t="str">
            <v>10EMP0331</v>
          </cell>
          <cell r="C28" t="str">
            <v>Zia Rahman Siraj Uddin</v>
          </cell>
          <cell r="D28" t="str">
            <v>PE Loading Operator</v>
          </cell>
          <cell r="E28" t="str">
            <v>Worker</v>
          </cell>
          <cell r="F28" t="str">
            <v>Eurocon Building Induastries LLC</v>
          </cell>
          <cell r="G28" t="str">
            <v>CCL</v>
          </cell>
          <cell r="H28" t="str">
            <v>Production (CCL)</v>
          </cell>
          <cell r="I28">
            <v>38843</v>
          </cell>
          <cell r="J28">
            <v>6814</v>
          </cell>
          <cell r="K28">
            <v>6784</v>
          </cell>
          <cell r="L28">
            <v>45657</v>
          </cell>
          <cell r="M28">
            <v>30</v>
          </cell>
          <cell r="N28">
            <v>0</v>
          </cell>
          <cell r="O28">
            <v>565.33333333333337</v>
          </cell>
          <cell r="P28">
            <v>485</v>
          </cell>
          <cell r="Q28">
            <v>80.333333333333371</v>
          </cell>
        </row>
        <row r="29">
          <cell r="A29">
            <v>333</v>
          </cell>
          <cell r="B29" t="str">
            <v>10EMP0333</v>
          </cell>
          <cell r="C29" t="str">
            <v>Zohirul Islam Nuruzzaman</v>
          </cell>
          <cell r="D29" t="str">
            <v>Maintenance Incharge</v>
          </cell>
          <cell r="E29" t="str">
            <v>Staff</v>
          </cell>
          <cell r="F29" t="str">
            <v>Mulk Holdings FZC</v>
          </cell>
          <cell r="G29" t="str">
            <v>MH Shared Services</v>
          </cell>
          <cell r="H29" t="str">
            <v>General Maintenance</v>
          </cell>
          <cell r="I29">
            <v>38980</v>
          </cell>
          <cell r="J29">
            <v>6677</v>
          </cell>
          <cell r="K29">
            <v>6532</v>
          </cell>
          <cell r="L29">
            <v>45657</v>
          </cell>
          <cell r="M29">
            <v>145</v>
          </cell>
          <cell r="N29">
            <v>0</v>
          </cell>
          <cell r="O29">
            <v>544.33333333333337</v>
          </cell>
          <cell r="P29">
            <v>463</v>
          </cell>
          <cell r="Q29">
            <v>81.333333333333371</v>
          </cell>
        </row>
        <row r="30">
          <cell r="A30">
            <v>334</v>
          </cell>
          <cell r="B30" t="str">
            <v>10EMP0334</v>
          </cell>
          <cell r="C30" t="str">
            <v>Zulfikar Ali Abdul Majeed</v>
          </cell>
          <cell r="D30" t="str">
            <v>Regional Manager</v>
          </cell>
          <cell r="E30" t="str">
            <v>Staff</v>
          </cell>
          <cell r="F30" t="str">
            <v>Mulk Holdings FZC</v>
          </cell>
          <cell r="G30" t="str">
            <v>Sales &amp; Marketing</v>
          </cell>
          <cell r="H30" t="str">
            <v>Sales &amp; Marketing</v>
          </cell>
          <cell r="I30">
            <v>38476</v>
          </cell>
          <cell r="J30">
            <v>7181</v>
          </cell>
          <cell r="K30">
            <v>7118</v>
          </cell>
          <cell r="L30">
            <v>45657</v>
          </cell>
          <cell r="M30">
            <v>63</v>
          </cell>
          <cell r="N30">
            <v>0</v>
          </cell>
          <cell r="O30">
            <v>593.16666666666663</v>
          </cell>
          <cell r="P30">
            <v>331</v>
          </cell>
          <cell r="Q30">
            <v>262.16666666666663</v>
          </cell>
        </row>
        <row r="31">
          <cell r="A31">
            <v>338</v>
          </cell>
          <cell r="B31" t="str">
            <v>10EMP0338</v>
          </cell>
          <cell r="C31" t="str">
            <v>Jugdayal Sharma Sudeshwar Sharma</v>
          </cell>
          <cell r="D31" t="str">
            <v>Foreman</v>
          </cell>
          <cell r="E31" t="str">
            <v>Worker</v>
          </cell>
          <cell r="F31" t="str">
            <v>Alubond Middle East FZC</v>
          </cell>
          <cell r="G31" t="str">
            <v>ACP</v>
          </cell>
          <cell r="H31" t="str">
            <v>Production (ACP)</v>
          </cell>
          <cell r="I31">
            <v>42747</v>
          </cell>
          <cell r="J31">
            <v>2910</v>
          </cell>
          <cell r="K31">
            <v>2738</v>
          </cell>
          <cell r="L31">
            <v>45657</v>
          </cell>
          <cell r="M31">
            <v>172</v>
          </cell>
          <cell r="N31">
            <v>0</v>
          </cell>
          <cell r="O31">
            <v>228.16666666666666</v>
          </cell>
          <cell r="P31">
            <v>203</v>
          </cell>
          <cell r="Q31">
            <v>25.166666666666657</v>
          </cell>
        </row>
        <row r="32">
          <cell r="A32">
            <v>351</v>
          </cell>
          <cell r="B32" t="str">
            <v>10EMP0351</v>
          </cell>
          <cell r="C32" t="str">
            <v>Shameem Hossain Mofser Mollah</v>
          </cell>
          <cell r="D32" t="str">
            <v>Supervisor</v>
          </cell>
          <cell r="E32" t="str">
            <v>Support Staff</v>
          </cell>
          <cell r="F32" t="str">
            <v>Metalplast Industries FZE</v>
          </cell>
          <cell r="G32" t="str">
            <v>Sales &amp; Marketing</v>
          </cell>
          <cell r="H32" t="str">
            <v>Sample Room</v>
          </cell>
          <cell r="I32">
            <v>39547</v>
          </cell>
          <cell r="J32">
            <v>6110</v>
          </cell>
          <cell r="K32">
            <v>6107</v>
          </cell>
          <cell r="L32">
            <v>45657</v>
          </cell>
          <cell r="M32">
            <v>3</v>
          </cell>
          <cell r="N32">
            <v>0</v>
          </cell>
          <cell r="O32">
            <v>508.91666666666663</v>
          </cell>
          <cell r="P32">
            <v>417</v>
          </cell>
          <cell r="Q32">
            <v>91.916666666666629</v>
          </cell>
        </row>
        <row r="33">
          <cell r="A33">
            <v>356</v>
          </cell>
          <cell r="B33" t="str">
            <v>10EMP0356</v>
          </cell>
          <cell r="C33" t="str">
            <v>Balwant Singh Munsha Singh</v>
          </cell>
          <cell r="D33" t="str">
            <v>Helper</v>
          </cell>
          <cell r="E33" t="str">
            <v>Worker</v>
          </cell>
          <cell r="F33" t="str">
            <v>Alubond Middle East FZC</v>
          </cell>
          <cell r="G33" t="str">
            <v>ACP</v>
          </cell>
          <cell r="H33" t="str">
            <v>Production (ACP)</v>
          </cell>
          <cell r="I33">
            <v>39568</v>
          </cell>
          <cell r="J33">
            <v>6089</v>
          </cell>
          <cell r="K33">
            <v>5980</v>
          </cell>
          <cell r="L33">
            <v>45657</v>
          </cell>
          <cell r="M33">
            <v>94</v>
          </cell>
          <cell r="N33">
            <v>15</v>
          </cell>
          <cell r="O33">
            <v>498.33333333333331</v>
          </cell>
          <cell r="P33">
            <v>299</v>
          </cell>
          <cell r="Q33">
            <v>199.33333333333331</v>
          </cell>
        </row>
        <row r="34">
          <cell r="A34">
            <v>360</v>
          </cell>
          <cell r="B34" t="str">
            <v>10EMP0360</v>
          </cell>
          <cell r="C34" t="str">
            <v>Moazam Qureshi Mohammed</v>
          </cell>
          <cell r="D34" t="str">
            <v>Asst. Operation Manager</v>
          </cell>
          <cell r="E34" t="str">
            <v>Staff</v>
          </cell>
          <cell r="F34" t="str">
            <v>Metalplast Industries FZE</v>
          </cell>
          <cell r="G34" t="str">
            <v>Metalplast</v>
          </cell>
          <cell r="H34" t="str">
            <v>Metalplast Operations</v>
          </cell>
          <cell r="I34">
            <v>39578</v>
          </cell>
          <cell r="J34">
            <v>6079</v>
          </cell>
          <cell r="K34">
            <v>6067</v>
          </cell>
          <cell r="L34">
            <v>45657</v>
          </cell>
          <cell r="M34">
            <v>12</v>
          </cell>
          <cell r="N34">
            <v>0</v>
          </cell>
          <cell r="O34">
            <v>505.58333333333331</v>
          </cell>
          <cell r="P34">
            <v>320</v>
          </cell>
          <cell r="Q34">
            <v>185.58333333333331</v>
          </cell>
        </row>
        <row r="35">
          <cell r="A35">
            <v>363</v>
          </cell>
          <cell r="B35" t="str">
            <v>10EMP0363</v>
          </cell>
          <cell r="C35" t="str">
            <v>Badri Bahadur Budhathoki</v>
          </cell>
          <cell r="D35" t="str">
            <v>Security Guard</v>
          </cell>
          <cell r="E35" t="str">
            <v>Support Staff</v>
          </cell>
          <cell r="F35" t="str">
            <v>Mulk Holdings FZC</v>
          </cell>
          <cell r="G35" t="str">
            <v>Eurocon Service Dpt</v>
          </cell>
          <cell r="H35" t="str">
            <v>M/H Security</v>
          </cell>
          <cell r="I35">
            <v>39576</v>
          </cell>
          <cell r="J35">
            <v>6081</v>
          </cell>
          <cell r="K35">
            <v>6001</v>
          </cell>
          <cell r="L35">
            <v>45657</v>
          </cell>
          <cell r="M35">
            <v>64</v>
          </cell>
          <cell r="N35">
            <v>16</v>
          </cell>
          <cell r="O35">
            <v>500.08333333333331</v>
          </cell>
          <cell r="P35">
            <v>331</v>
          </cell>
          <cell r="Q35">
            <v>169.08333333333331</v>
          </cell>
        </row>
        <row r="36">
          <cell r="A36">
            <v>367</v>
          </cell>
          <cell r="B36" t="str">
            <v>10EMP0367</v>
          </cell>
          <cell r="C36" t="str">
            <v>Ratan Sheikh Nurul Islam</v>
          </cell>
          <cell r="D36" t="str">
            <v>House Keeper</v>
          </cell>
          <cell r="E36" t="str">
            <v>Worker</v>
          </cell>
          <cell r="F36" t="str">
            <v>Metalplast Industries FZE</v>
          </cell>
          <cell r="G36" t="str">
            <v>Management Support Staff</v>
          </cell>
          <cell r="H36" t="str">
            <v>Management Residence</v>
          </cell>
          <cell r="I36">
            <v>39599</v>
          </cell>
          <cell r="J36">
            <v>6058</v>
          </cell>
          <cell r="K36">
            <v>5942</v>
          </cell>
          <cell r="L36">
            <v>45657</v>
          </cell>
          <cell r="M36">
            <v>86</v>
          </cell>
          <cell r="N36">
            <v>30</v>
          </cell>
          <cell r="O36">
            <v>495.16666666666669</v>
          </cell>
          <cell r="P36">
            <v>373</v>
          </cell>
          <cell r="Q36">
            <v>122.16666666666669</v>
          </cell>
        </row>
        <row r="37">
          <cell r="A37">
            <v>379</v>
          </cell>
          <cell r="B37" t="str">
            <v>10EMP0379</v>
          </cell>
          <cell r="C37" t="str">
            <v>Mirza Shafiullah Baig</v>
          </cell>
          <cell r="D37" t="str">
            <v>Purchase Assistant</v>
          </cell>
          <cell r="E37" t="str">
            <v>Staff</v>
          </cell>
          <cell r="F37" t="str">
            <v>Metalplast Industries FZE</v>
          </cell>
          <cell r="G37" t="str">
            <v>Metalplast</v>
          </cell>
          <cell r="H37" t="str">
            <v>Supply Chain - Purchase</v>
          </cell>
          <cell r="I37">
            <v>39641</v>
          </cell>
          <cell r="J37">
            <v>6016</v>
          </cell>
          <cell r="K37">
            <v>5618</v>
          </cell>
          <cell r="L37">
            <v>45657</v>
          </cell>
          <cell r="M37">
            <v>398</v>
          </cell>
          <cell r="N37">
            <v>0</v>
          </cell>
          <cell r="O37">
            <v>468.16666666666669</v>
          </cell>
          <cell r="P37">
            <v>332</v>
          </cell>
          <cell r="Q37">
            <v>136.16666666666669</v>
          </cell>
        </row>
        <row r="38">
          <cell r="A38">
            <v>389</v>
          </cell>
          <cell r="B38" t="str">
            <v>10EMP0389</v>
          </cell>
          <cell r="C38" t="str">
            <v>Mehedi Hasan Abdul Aziz</v>
          </cell>
          <cell r="D38" t="str">
            <v>Office Boy</v>
          </cell>
          <cell r="E38" t="str">
            <v>Support Staff</v>
          </cell>
          <cell r="F38" t="str">
            <v>Mulk Holdings FZC</v>
          </cell>
          <cell r="G38" t="str">
            <v>Management Residence</v>
          </cell>
          <cell r="H38" t="str">
            <v>Housekeeping</v>
          </cell>
          <cell r="I38">
            <v>39654</v>
          </cell>
          <cell r="J38">
            <v>6003</v>
          </cell>
          <cell r="K38">
            <v>5872</v>
          </cell>
          <cell r="L38">
            <v>45657</v>
          </cell>
          <cell r="M38">
            <v>131</v>
          </cell>
          <cell r="N38">
            <v>0</v>
          </cell>
          <cell r="O38">
            <v>489.33333333333331</v>
          </cell>
          <cell r="P38">
            <v>434</v>
          </cell>
          <cell r="Q38">
            <v>55.333333333333314</v>
          </cell>
        </row>
        <row r="39">
          <cell r="A39">
            <v>394</v>
          </cell>
          <cell r="B39" t="str">
            <v>10EMP0394</v>
          </cell>
          <cell r="C39" t="str">
            <v>Kamal Hossain Tofazzal Mollah</v>
          </cell>
          <cell r="D39" t="str">
            <v>House Keeper</v>
          </cell>
          <cell r="E39" t="str">
            <v>Worker</v>
          </cell>
          <cell r="F39" t="str">
            <v>Metalplast Industries FZE</v>
          </cell>
          <cell r="G39" t="str">
            <v>MH Shared Services</v>
          </cell>
          <cell r="H39" t="str">
            <v>Housekeeping</v>
          </cell>
          <cell r="I39">
            <v>39649</v>
          </cell>
          <cell r="J39">
            <v>6008</v>
          </cell>
          <cell r="K39">
            <v>5810</v>
          </cell>
          <cell r="L39">
            <v>45657</v>
          </cell>
          <cell r="M39">
            <v>168</v>
          </cell>
          <cell r="N39">
            <v>30</v>
          </cell>
          <cell r="O39">
            <v>484.16666666666669</v>
          </cell>
          <cell r="P39">
            <v>361</v>
          </cell>
          <cell r="Q39">
            <v>123.16666666666669</v>
          </cell>
        </row>
        <row r="40">
          <cell r="A40">
            <v>399</v>
          </cell>
          <cell r="B40" t="str">
            <v>10EMP0399</v>
          </cell>
          <cell r="C40" t="str">
            <v>Mohammed Parvez Kamal Uddin</v>
          </cell>
          <cell r="D40" t="str">
            <v>End Cutting Operator</v>
          </cell>
          <cell r="E40" t="str">
            <v>Worker</v>
          </cell>
          <cell r="F40" t="str">
            <v>Alubond Middle East FZC</v>
          </cell>
          <cell r="G40" t="str">
            <v>ACP</v>
          </cell>
          <cell r="H40" t="str">
            <v>Production (ACP)</v>
          </cell>
          <cell r="I40">
            <v>39659</v>
          </cell>
          <cell r="J40">
            <v>5998</v>
          </cell>
          <cell r="K40">
            <v>5865</v>
          </cell>
          <cell r="L40">
            <v>45657</v>
          </cell>
          <cell r="M40">
            <v>115</v>
          </cell>
          <cell r="N40">
            <v>18</v>
          </cell>
          <cell r="O40">
            <v>488.75000000000006</v>
          </cell>
          <cell r="P40">
            <v>301</v>
          </cell>
          <cell r="Q40">
            <v>187.75000000000006</v>
          </cell>
        </row>
        <row r="41">
          <cell r="A41">
            <v>434</v>
          </cell>
          <cell r="B41" t="str">
            <v>10EMP0434</v>
          </cell>
          <cell r="C41" t="str">
            <v>Liton Zamal Hossain</v>
          </cell>
          <cell r="D41" t="str">
            <v>Lamination Operator</v>
          </cell>
          <cell r="E41" t="str">
            <v>Worker</v>
          </cell>
          <cell r="F41" t="str">
            <v>Eurocon Building Induastries LLC</v>
          </cell>
          <cell r="G41" t="str">
            <v>ACP</v>
          </cell>
          <cell r="H41" t="str">
            <v>Production (ACP)</v>
          </cell>
          <cell r="I41">
            <v>39742</v>
          </cell>
          <cell r="J41">
            <v>5915</v>
          </cell>
          <cell r="K41">
            <v>5901</v>
          </cell>
          <cell r="L41">
            <v>45657</v>
          </cell>
          <cell r="M41">
            <v>14</v>
          </cell>
          <cell r="N41">
            <v>0</v>
          </cell>
          <cell r="O41">
            <v>491.75</v>
          </cell>
          <cell r="P41">
            <v>391</v>
          </cell>
          <cell r="Q41">
            <v>100.75</v>
          </cell>
        </row>
        <row r="42">
          <cell r="A42">
            <v>439</v>
          </cell>
          <cell r="B42" t="str">
            <v>10EMP0439</v>
          </cell>
          <cell r="C42" t="str">
            <v>Prasith Ponnara Kandy</v>
          </cell>
          <cell r="D42" t="str">
            <v>Assistant Manager</v>
          </cell>
          <cell r="E42" t="str">
            <v>Staff</v>
          </cell>
          <cell r="F42" t="str">
            <v>Mulk Holdings FZC</v>
          </cell>
          <cell r="G42" t="str">
            <v>Sales &amp; Marketing</v>
          </cell>
          <cell r="H42" t="str">
            <v>Sales &amp; Marketing</v>
          </cell>
          <cell r="I42">
            <v>39746</v>
          </cell>
          <cell r="J42">
            <v>5911</v>
          </cell>
          <cell r="K42">
            <v>5843</v>
          </cell>
          <cell r="L42">
            <v>45657</v>
          </cell>
          <cell r="M42">
            <v>10</v>
          </cell>
          <cell r="N42">
            <v>58</v>
          </cell>
          <cell r="O42">
            <v>486.91666666666663</v>
          </cell>
          <cell r="P42">
            <v>343</v>
          </cell>
          <cell r="Q42">
            <v>143.91666666666663</v>
          </cell>
        </row>
        <row r="43">
          <cell r="A43">
            <v>453</v>
          </cell>
          <cell r="B43" t="str">
            <v>10EMP0453</v>
          </cell>
          <cell r="C43" t="str">
            <v>Saadullah Khan Nawab Dawood Khan</v>
          </cell>
          <cell r="D43" t="str">
            <v xml:space="preserve">Director- Operational &amp; Sales  Support </v>
          </cell>
          <cell r="E43" t="str">
            <v>Staff</v>
          </cell>
          <cell r="F43" t="str">
            <v>T Ten Sports Management FZCO</v>
          </cell>
          <cell r="G43" t="str">
            <v>Sales &amp; Marketing</v>
          </cell>
          <cell r="H43" t="str">
            <v>Sales &amp; Marketing</v>
          </cell>
          <cell r="I43">
            <v>44378</v>
          </cell>
          <cell r="J43">
            <v>1279</v>
          </cell>
          <cell r="K43">
            <v>1281</v>
          </cell>
          <cell r="L43">
            <v>45657</v>
          </cell>
          <cell r="M43">
            <v>-2</v>
          </cell>
          <cell r="N43">
            <v>0</v>
          </cell>
          <cell r="O43">
            <v>106.75</v>
          </cell>
          <cell r="P43">
            <v>160</v>
          </cell>
          <cell r="Q43">
            <v>-53.25</v>
          </cell>
        </row>
        <row r="44">
          <cell r="A44">
            <v>459</v>
          </cell>
          <cell r="B44" t="str">
            <v>10EMP0459</v>
          </cell>
          <cell r="C44" t="str">
            <v>Zahangir Alom Abdul Gony</v>
          </cell>
          <cell r="D44" t="str">
            <v>Forklift Operator</v>
          </cell>
          <cell r="E44" t="str">
            <v>Worker</v>
          </cell>
          <cell r="F44" t="str">
            <v>Eurocon Building Induastries LLC</v>
          </cell>
          <cell r="G44" t="str">
            <v>Supply Chain (Eurocon)</v>
          </cell>
          <cell r="H44" t="str">
            <v>Supply Chain - Warehouse</v>
          </cell>
          <cell r="I44">
            <v>39828</v>
          </cell>
          <cell r="J44">
            <v>5829</v>
          </cell>
          <cell r="K44">
            <v>5791</v>
          </cell>
          <cell r="L44">
            <v>45657</v>
          </cell>
          <cell r="M44">
            <v>24</v>
          </cell>
          <cell r="N44">
            <v>14</v>
          </cell>
          <cell r="O44">
            <v>482.58333333333337</v>
          </cell>
          <cell r="P44">
            <v>463</v>
          </cell>
          <cell r="Q44">
            <v>19.583333333333371</v>
          </cell>
        </row>
        <row r="45">
          <cell r="A45">
            <v>483</v>
          </cell>
          <cell r="B45" t="str">
            <v>10EMP0483</v>
          </cell>
          <cell r="C45" t="str">
            <v>Khairul Hasan Bhuiyan Md Abdur Rashid Bhuiyan</v>
          </cell>
          <cell r="D45" t="str">
            <v>Forklift Operator</v>
          </cell>
          <cell r="E45" t="str">
            <v>Worker</v>
          </cell>
          <cell r="F45" t="str">
            <v>Eurocon Building Induastries LLC</v>
          </cell>
          <cell r="G45" t="str">
            <v>Supply Chain (Eurocon)</v>
          </cell>
          <cell r="H45" t="str">
            <v>Supply Chain - Warehouse</v>
          </cell>
          <cell r="I45">
            <v>39859</v>
          </cell>
          <cell r="J45">
            <v>5798</v>
          </cell>
          <cell r="K45">
            <v>5762</v>
          </cell>
          <cell r="L45">
            <v>45657</v>
          </cell>
          <cell r="M45">
            <v>36</v>
          </cell>
          <cell r="N45">
            <v>0</v>
          </cell>
          <cell r="O45">
            <v>480.16666666666669</v>
          </cell>
          <cell r="P45">
            <v>371</v>
          </cell>
          <cell r="Q45">
            <v>109.16666666666669</v>
          </cell>
        </row>
        <row r="46">
          <cell r="A46">
            <v>565</v>
          </cell>
          <cell r="B46" t="str">
            <v>10EMP0565</v>
          </cell>
          <cell r="C46" t="str">
            <v>Md Zahangir Alam Abdur Rahoman</v>
          </cell>
          <cell r="D46" t="str">
            <v>FR Igglo Operator Line 1</v>
          </cell>
          <cell r="E46" t="str">
            <v>Worker</v>
          </cell>
          <cell r="F46" t="str">
            <v>Metalplast Industries FZE</v>
          </cell>
          <cell r="G46" t="str">
            <v>Metalplast</v>
          </cell>
          <cell r="H46" t="str">
            <v>Metalplast Production</v>
          </cell>
          <cell r="I46">
            <v>40113</v>
          </cell>
          <cell r="J46">
            <v>5544</v>
          </cell>
          <cell r="K46">
            <v>5322</v>
          </cell>
          <cell r="L46">
            <v>45657</v>
          </cell>
          <cell r="M46">
            <v>222</v>
          </cell>
          <cell r="N46">
            <v>0</v>
          </cell>
          <cell r="O46">
            <v>443.5</v>
          </cell>
          <cell r="P46">
            <v>242</v>
          </cell>
          <cell r="Q46">
            <v>201.5</v>
          </cell>
        </row>
        <row r="47">
          <cell r="A47">
            <v>571</v>
          </cell>
          <cell r="B47" t="str">
            <v>10EMP0571</v>
          </cell>
          <cell r="C47" t="str">
            <v>Abdur Rashid Abdul Awal</v>
          </cell>
          <cell r="D47" t="str">
            <v>FR Helper Line 2</v>
          </cell>
          <cell r="E47" t="str">
            <v>Worker</v>
          </cell>
          <cell r="F47" t="str">
            <v>Metalplast Industries FZE</v>
          </cell>
          <cell r="G47" t="str">
            <v>Metalplast</v>
          </cell>
          <cell r="H47" t="str">
            <v>Metalplast Production</v>
          </cell>
          <cell r="I47">
            <v>40113</v>
          </cell>
          <cell r="J47">
            <v>5544</v>
          </cell>
          <cell r="K47">
            <v>5360</v>
          </cell>
          <cell r="L47">
            <v>45657</v>
          </cell>
          <cell r="M47">
            <v>184</v>
          </cell>
          <cell r="N47">
            <v>0</v>
          </cell>
          <cell r="O47">
            <v>446.66666666666669</v>
          </cell>
          <cell r="P47">
            <v>302</v>
          </cell>
          <cell r="Q47">
            <v>144.66666666666669</v>
          </cell>
        </row>
        <row r="48">
          <cell r="A48">
            <v>572</v>
          </cell>
          <cell r="B48" t="str">
            <v>10EMP0572</v>
          </cell>
          <cell r="C48" t="str">
            <v>Mohammed Milon Lokman Hossain</v>
          </cell>
          <cell r="D48" t="str">
            <v>FR Igglo Operator Line 3</v>
          </cell>
          <cell r="E48" t="str">
            <v>Worker</v>
          </cell>
          <cell r="F48" t="str">
            <v>Metalplast Industries FZE</v>
          </cell>
          <cell r="G48" t="str">
            <v>Metalplast</v>
          </cell>
          <cell r="H48" t="str">
            <v>Metalplast Production</v>
          </cell>
          <cell r="I48">
            <v>40113</v>
          </cell>
          <cell r="J48">
            <v>5544</v>
          </cell>
          <cell r="K48">
            <v>5514</v>
          </cell>
          <cell r="L48">
            <v>45657</v>
          </cell>
          <cell r="M48">
            <v>30</v>
          </cell>
          <cell r="N48">
            <v>0</v>
          </cell>
          <cell r="O48">
            <v>459.5</v>
          </cell>
          <cell r="P48">
            <v>363</v>
          </cell>
          <cell r="Q48">
            <v>96.5</v>
          </cell>
        </row>
        <row r="49">
          <cell r="A49">
            <v>580</v>
          </cell>
          <cell r="B49" t="str">
            <v>10EMP0580</v>
          </cell>
          <cell r="C49" t="str">
            <v>Mohammad Milon Miah Abul Kashem</v>
          </cell>
          <cell r="D49" t="str">
            <v>Helper</v>
          </cell>
          <cell r="E49" t="str">
            <v>Worker</v>
          </cell>
          <cell r="F49" t="str">
            <v>Eurocon Building Induastries LLC</v>
          </cell>
          <cell r="G49" t="str">
            <v>Sales &amp; Marketing</v>
          </cell>
          <cell r="H49" t="str">
            <v>Sample Room</v>
          </cell>
          <cell r="I49">
            <v>40113</v>
          </cell>
          <cell r="J49">
            <v>5544</v>
          </cell>
          <cell r="K49">
            <v>5431</v>
          </cell>
          <cell r="L49">
            <v>45657</v>
          </cell>
          <cell r="M49">
            <v>113</v>
          </cell>
          <cell r="N49">
            <v>0</v>
          </cell>
          <cell r="O49">
            <v>452.58333333333331</v>
          </cell>
          <cell r="P49">
            <v>321</v>
          </cell>
          <cell r="Q49">
            <v>131.58333333333331</v>
          </cell>
        </row>
        <row r="50">
          <cell r="A50">
            <v>583</v>
          </cell>
          <cell r="B50" t="str">
            <v>10EMP0583</v>
          </cell>
          <cell r="C50" t="str">
            <v>Jafar Hqbal Sharif Mannan Sharif</v>
          </cell>
          <cell r="D50" t="str">
            <v xml:space="preserve">FR Operator Line 1 </v>
          </cell>
          <cell r="E50" t="str">
            <v>Worker</v>
          </cell>
          <cell r="F50" t="str">
            <v>Metalplast Industries FZE</v>
          </cell>
          <cell r="G50" t="str">
            <v>Metalplast</v>
          </cell>
          <cell r="H50" t="str">
            <v>Metalplast Production</v>
          </cell>
          <cell r="I50">
            <v>40124</v>
          </cell>
          <cell r="J50">
            <v>5533</v>
          </cell>
          <cell r="K50">
            <v>5402</v>
          </cell>
          <cell r="L50">
            <v>45657</v>
          </cell>
          <cell r="M50">
            <v>131</v>
          </cell>
          <cell r="N50">
            <v>0</v>
          </cell>
          <cell r="O50">
            <v>450.16666666666669</v>
          </cell>
          <cell r="P50">
            <v>302</v>
          </cell>
          <cell r="Q50">
            <v>148.16666666666669</v>
          </cell>
        </row>
        <row r="51">
          <cell r="A51">
            <v>597</v>
          </cell>
          <cell r="B51" t="str">
            <v>10EMP0597</v>
          </cell>
          <cell r="C51" t="str">
            <v>Samrat Matubbar Md Hakim Matubbar</v>
          </cell>
          <cell r="D51" t="str">
            <v xml:space="preserve">FR Operator Line 3 </v>
          </cell>
          <cell r="E51" t="str">
            <v>Worker</v>
          </cell>
          <cell r="F51" t="str">
            <v>Metalplast Industries FZE</v>
          </cell>
          <cell r="G51" t="str">
            <v>Metalplast</v>
          </cell>
          <cell r="H51" t="str">
            <v>Metalplast Production</v>
          </cell>
          <cell r="I51">
            <v>40140</v>
          </cell>
          <cell r="J51">
            <v>5517</v>
          </cell>
          <cell r="K51">
            <v>5290</v>
          </cell>
          <cell r="L51">
            <v>45657</v>
          </cell>
          <cell r="M51">
            <v>227</v>
          </cell>
          <cell r="N51">
            <v>0</v>
          </cell>
          <cell r="O51">
            <v>440.83333333333331</v>
          </cell>
          <cell r="P51">
            <v>299</v>
          </cell>
          <cell r="Q51">
            <v>141.83333333333331</v>
          </cell>
        </row>
        <row r="52">
          <cell r="A52">
            <v>600</v>
          </cell>
          <cell r="B52" t="str">
            <v>10EMP0600</v>
          </cell>
          <cell r="C52" t="str">
            <v>Monir Hossain Nurul Islam Patoari</v>
          </cell>
          <cell r="D52" t="str">
            <v xml:space="preserve">FR Operator Line 1 </v>
          </cell>
          <cell r="E52" t="str">
            <v>Worker</v>
          </cell>
          <cell r="F52" t="str">
            <v>Metalplast Industries FZE</v>
          </cell>
          <cell r="G52" t="str">
            <v>Metalplast</v>
          </cell>
          <cell r="H52" t="str">
            <v>Metalplast Production</v>
          </cell>
          <cell r="I52">
            <v>40140</v>
          </cell>
          <cell r="J52">
            <v>5517</v>
          </cell>
          <cell r="K52">
            <v>5304</v>
          </cell>
          <cell r="L52">
            <v>45657</v>
          </cell>
          <cell r="M52">
            <v>213</v>
          </cell>
          <cell r="N52">
            <v>0</v>
          </cell>
          <cell r="O52">
            <v>442</v>
          </cell>
          <cell r="P52">
            <v>302</v>
          </cell>
          <cell r="Q52">
            <v>140</v>
          </cell>
        </row>
        <row r="53">
          <cell r="A53">
            <v>602</v>
          </cell>
          <cell r="B53" t="str">
            <v>10EMP0602</v>
          </cell>
          <cell r="C53" t="str">
            <v>Alaim Md Motalab</v>
          </cell>
          <cell r="D53" t="str">
            <v>FR Helper Line 3</v>
          </cell>
          <cell r="E53" t="str">
            <v>Worker</v>
          </cell>
          <cell r="F53" t="str">
            <v>Metalplast Industries FZE</v>
          </cell>
          <cell r="G53" t="str">
            <v>Metalplast</v>
          </cell>
          <cell r="H53" t="str">
            <v>Metalplast Production</v>
          </cell>
          <cell r="I53">
            <v>40140</v>
          </cell>
          <cell r="J53">
            <v>5517</v>
          </cell>
          <cell r="K53">
            <v>5482</v>
          </cell>
          <cell r="L53">
            <v>45657</v>
          </cell>
          <cell r="M53">
            <v>35</v>
          </cell>
          <cell r="N53">
            <v>0</v>
          </cell>
          <cell r="O53">
            <v>456.83333333333331</v>
          </cell>
          <cell r="P53">
            <v>240</v>
          </cell>
          <cell r="Q53">
            <v>216.83333333333331</v>
          </cell>
        </row>
        <row r="54">
          <cell r="A54">
            <v>603</v>
          </cell>
          <cell r="B54" t="str">
            <v>10EMP0603</v>
          </cell>
          <cell r="C54" t="str">
            <v>Mafijur Matubber Shajahan Fakir</v>
          </cell>
          <cell r="D54" t="str">
            <v>Production Supervisor</v>
          </cell>
          <cell r="E54" t="str">
            <v>Support Staff</v>
          </cell>
          <cell r="F54" t="str">
            <v>Metalplast Industries FZE</v>
          </cell>
          <cell r="G54" t="str">
            <v>ACP</v>
          </cell>
          <cell r="H54" t="str">
            <v>Production (ACP)</v>
          </cell>
          <cell r="I54">
            <v>40140</v>
          </cell>
          <cell r="J54">
            <v>5517</v>
          </cell>
          <cell r="K54">
            <v>5316</v>
          </cell>
          <cell r="L54">
            <v>45657</v>
          </cell>
          <cell r="M54">
            <v>201</v>
          </cell>
          <cell r="N54">
            <v>0</v>
          </cell>
          <cell r="O54">
            <v>443</v>
          </cell>
          <cell r="P54">
            <v>303</v>
          </cell>
          <cell r="Q54">
            <v>140</v>
          </cell>
        </row>
        <row r="55">
          <cell r="A55">
            <v>629</v>
          </cell>
          <cell r="B55" t="str">
            <v>10EMP0629</v>
          </cell>
          <cell r="C55" t="str">
            <v>Amir Alam Khan Bahar Karam</v>
          </cell>
          <cell r="D55" t="str">
            <v>Trailer Driver - 68503</v>
          </cell>
          <cell r="E55" t="str">
            <v>Support Staff</v>
          </cell>
          <cell r="F55" t="str">
            <v>Alubond Middle East FZC</v>
          </cell>
          <cell r="G55" t="str">
            <v>Supply Chain (Eurocon)</v>
          </cell>
          <cell r="H55" t="str">
            <v>Logistics</v>
          </cell>
          <cell r="I55">
            <v>40223</v>
          </cell>
          <cell r="J55">
            <v>5434</v>
          </cell>
          <cell r="K55">
            <v>5312</v>
          </cell>
          <cell r="L55">
            <v>45657</v>
          </cell>
          <cell r="M55">
            <v>108</v>
          </cell>
          <cell r="N55">
            <v>14</v>
          </cell>
          <cell r="O55">
            <v>442.66666666666669</v>
          </cell>
          <cell r="P55">
            <v>402</v>
          </cell>
          <cell r="Q55">
            <v>40.666666666666686</v>
          </cell>
        </row>
        <row r="56">
          <cell r="A56">
            <v>630</v>
          </cell>
          <cell r="B56" t="str">
            <v>10EMP0630</v>
          </cell>
          <cell r="C56" t="str">
            <v>Amir Hossain Kabir Ahmed</v>
          </cell>
          <cell r="D56" t="str">
            <v>Imam</v>
          </cell>
          <cell r="E56" t="str">
            <v>Support Staff</v>
          </cell>
          <cell r="F56" t="str">
            <v>Metalplast Industries FZE</v>
          </cell>
          <cell r="G56" t="str">
            <v>Management Support Staff</v>
          </cell>
          <cell r="H56" t="str">
            <v>Mosque</v>
          </cell>
          <cell r="I56">
            <v>40171</v>
          </cell>
          <cell r="J56">
            <v>5486</v>
          </cell>
          <cell r="K56">
            <v>5483</v>
          </cell>
          <cell r="L56">
            <v>45657</v>
          </cell>
          <cell r="M56">
            <v>3</v>
          </cell>
          <cell r="N56">
            <v>0</v>
          </cell>
          <cell r="O56">
            <v>456.91666666666669</v>
          </cell>
          <cell r="P56">
            <v>367</v>
          </cell>
          <cell r="Q56">
            <v>89.916666666666686</v>
          </cell>
        </row>
        <row r="57">
          <cell r="A57">
            <v>659</v>
          </cell>
          <cell r="B57" t="str">
            <v>10EMP0659</v>
          </cell>
          <cell r="C57" t="str">
            <v>Monir Hossain Reno Miah</v>
          </cell>
          <cell r="D57" t="str">
            <v xml:space="preserve">FR Igglo Helper Line 1 </v>
          </cell>
          <cell r="E57" t="str">
            <v>Worker</v>
          </cell>
          <cell r="F57" t="str">
            <v>Metalplast Industries FZE</v>
          </cell>
          <cell r="G57" t="str">
            <v>Metalplast</v>
          </cell>
          <cell r="H57" t="str">
            <v>Metalplast Production</v>
          </cell>
          <cell r="I57">
            <v>40398</v>
          </cell>
          <cell r="J57">
            <v>5259</v>
          </cell>
          <cell r="K57">
            <v>5125</v>
          </cell>
          <cell r="L57">
            <v>45657</v>
          </cell>
          <cell r="M57">
            <v>134</v>
          </cell>
          <cell r="N57">
            <v>0</v>
          </cell>
          <cell r="O57">
            <v>427.08333333333331</v>
          </cell>
          <cell r="P57">
            <v>302</v>
          </cell>
          <cell r="Q57">
            <v>125.08333333333331</v>
          </cell>
        </row>
        <row r="58">
          <cell r="A58">
            <v>670</v>
          </cell>
          <cell r="B58" t="str">
            <v>10EMP0670</v>
          </cell>
          <cell r="C58" t="str">
            <v>Mohammad Masum Harunur Rashid</v>
          </cell>
          <cell r="D58" t="str">
            <v>Coating Operator</v>
          </cell>
          <cell r="E58" t="str">
            <v>Worker</v>
          </cell>
          <cell r="F58" t="str">
            <v>Metalplast Industries FZE</v>
          </cell>
          <cell r="G58" t="str">
            <v>Metalplast</v>
          </cell>
          <cell r="H58" t="str">
            <v>Metalplast Production</v>
          </cell>
          <cell r="I58">
            <v>40408</v>
          </cell>
          <cell r="J58">
            <v>5249</v>
          </cell>
          <cell r="K58">
            <v>4873</v>
          </cell>
          <cell r="L58">
            <v>45657</v>
          </cell>
          <cell r="M58">
            <v>376</v>
          </cell>
          <cell r="N58">
            <v>0</v>
          </cell>
          <cell r="O58">
            <v>406.08333333333337</v>
          </cell>
          <cell r="P58">
            <v>246</v>
          </cell>
          <cell r="Q58">
            <v>160.08333333333337</v>
          </cell>
        </row>
        <row r="59">
          <cell r="A59">
            <v>791</v>
          </cell>
          <cell r="B59" t="str">
            <v>10EMP0791</v>
          </cell>
          <cell r="C59" t="str">
            <v>Yuvaraj Chauhan</v>
          </cell>
          <cell r="D59" t="str">
            <v>Office Boy</v>
          </cell>
          <cell r="E59" t="str">
            <v>Support Staff</v>
          </cell>
          <cell r="F59" t="str">
            <v>Mulk Holdings FZC</v>
          </cell>
          <cell r="G59" t="str">
            <v>MH Shared Services</v>
          </cell>
          <cell r="H59" t="str">
            <v>HO ADMIN</v>
          </cell>
          <cell r="I59">
            <v>40675</v>
          </cell>
          <cell r="J59">
            <v>4982</v>
          </cell>
          <cell r="K59">
            <v>4933</v>
          </cell>
          <cell r="L59">
            <v>45657</v>
          </cell>
          <cell r="M59">
            <v>42</v>
          </cell>
          <cell r="N59">
            <v>7</v>
          </cell>
          <cell r="O59">
            <v>411.08333333333331</v>
          </cell>
          <cell r="P59">
            <v>399</v>
          </cell>
          <cell r="Q59">
            <v>12.083333333333314</v>
          </cell>
        </row>
        <row r="60">
          <cell r="A60">
            <v>801</v>
          </cell>
          <cell r="B60" t="str">
            <v>10EMP0801</v>
          </cell>
          <cell r="C60" t="str">
            <v>Janeesh Jayakumar Baby</v>
          </cell>
          <cell r="D60" t="str">
            <v>Trailer Driver / 3 Tonne Pick Up 62755</v>
          </cell>
          <cell r="E60" t="str">
            <v>Support Staff</v>
          </cell>
          <cell r="F60" t="str">
            <v>Metalplast Industries FZE</v>
          </cell>
          <cell r="G60" t="str">
            <v>Metalplast</v>
          </cell>
          <cell r="H60" t="str">
            <v>M/P - Transport</v>
          </cell>
          <cell r="I60">
            <v>40664</v>
          </cell>
          <cell r="J60">
            <v>4993</v>
          </cell>
          <cell r="K60">
            <v>4774</v>
          </cell>
          <cell r="L60">
            <v>45657</v>
          </cell>
          <cell r="M60">
            <v>198</v>
          </cell>
          <cell r="N60">
            <v>21</v>
          </cell>
          <cell r="O60">
            <v>397.83333333333331</v>
          </cell>
          <cell r="P60">
            <v>413</v>
          </cell>
          <cell r="Q60">
            <v>-15.166666666666686</v>
          </cell>
        </row>
        <row r="61">
          <cell r="A61">
            <v>802</v>
          </cell>
          <cell r="B61" t="str">
            <v>10EMP0802</v>
          </cell>
          <cell r="C61" t="str">
            <v>Muhammad Pervez Muhammad Idrees</v>
          </cell>
          <cell r="D61" t="str">
            <v>Sr.Maintenance Helper</v>
          </cell>
          <cell r="E61" t="str">
            <v>Worker</v>
          </cell>
          <cell r="F61" t="str">
            <v>Metalplast Industries FZE</v>
          </cell>
          <cell r="G61" t="str">
            <v>Metalplast</v>
          </cell>
          <cell r="H61" t="str">
            <v>Metalplast Maintenance</v>
          </cell>
          <cell r="I61">
            <v>40642</v>
          </cell>
          <cell r="J61">
            <v>5015</v>
          </cell>
          <cell r="K61">
            <v>4888</v>
          </cell>
          <cell r="L61">
            <v>45657</v>
          </cell>
          <cell r="M61">
            <v>93</v>
          </cell>
          <cell r="N61">
            <v>34</v>
          </cell>
          <cell r="O61">
            <v>407.33333333333331</v>
          </cell>
          <cell r="P61">
            <v>375</v>
          </cell>
          <cell r="Q61">
            <v>32.333333333333314</v>
          </cell>
        </row>
        <row r="62">
          <cell r="A62">
            <v>835</v>
          </cell>
          <cell r="B62" t="str">
            <v>10EMP0835</v>
          </cell>
          <cell r="C62" t="str">
            <v>Asim Abbas Sadiq Ali</v>
          </cell>
          <cell r="D62" t="str">
            <v>Credit Controller</v>
          </cell>
          <cell r="E62" t="str">
            <v>Staff</v>
          </cell>
          <cell r="F62" t="str">
            <v>Mulk Holdings FZC</v>
          </cell>
          <cell r="G62" t="str">
            <v>MH Shared Services</v>
          </cell>
          <cell r="H62" t="str">
            <v>Finance &amp; Accounts</v>
          </cell>
          <cell r="I62">
            <v>40696</v>
          </cell>
          <cell r="J62">
            <v>4961</v>
          </cell>
          <cell r="K62">
            <v>4959</v>
          </cell>
          <cell r="L62">
            <v>45657</v>
          </cell>
          <cell r="M62">
            <v>2</v>
          </cell>
          <cell r="N62">
            <v>0</v>
          </cell>
          <cell r="O62">
            <v>413.25</v>
          </cell>
          <cell r="P62">
            <v>274</v>
          </cell>
          <cell r="Q62">
            <v>139.25</v>
          </cell>
        </row>
        <row r="63">
          <cell r="A63">
            <v>924</v>
          </cell>
          <cell r="B63" t="str">
            <v>10EMP0924</v>
          </cell>
          <cell r="C63" t="str">
            <v>Chandrakant Bhaskarbhai Pawar</v>
          </cell>
          <cell r="D63" t="str">
            <v>Group CFO</v>
          </cell>
          <cell r="E63" t="str">
            <v>Staff</v>
          </cell>
          <cell r="F63" t="str">
            <v>Alubond Middle East FZC</v>
          </cell>
          <cell r="G63" t="str">
            <v>MH Shared Services</v>
          </cell>
          <cell r="H63" t="str">
            <v>Finance &amp; Accounts</v>
          </cell>
          <cell r="I63">
            <v>41023</v>
          </cell>
          <cell r="J63">
            <v>4634</v>
          </cell>
          <cell r="K63">
            <v>4456</v>
          </cell>
          <cell r="L63">
            <v>45657</v>
          </cell>
          <cell r="M63">
            <v>175</v>
          </cell>
          <cell r="N63">
            <v>3</v>
          </cell>
          <cell r="O63">
            <v>371.33333333333337</v>
          </cell>
          <cell r="P63">
            <v>305</v>
          </cell>
          <cell r="Q63">
            <v>66.333333333333371</v>
          </cell>
        </row>
        <row r="64">
          <cell r="A64">
            <v>945</v>
          </cell>
          <cell r="B64" t="str">
            <v>10EMP0945</v>
          </cell>
          <cell r="C64" t="str">
            <v>Muhammad Irfan Ramzan</v>
          </cell>
          <cell r="D64" t="str">
            <v>Helper</v>
          </cell>
          <cell r="E64" t="str">
            <v>Worker</v>
          </cell>
          <cell r="F64" t="str">
            <v>Metalplast Industries FZE</v>
          </cell>
          <cell r="G64" t="str">
            <v>Metalplast</v>
          </cell>
          <cell r="H64" t="str">
            <v>Metalplast Production</v>
          </cell>
          <cell r="I64">
            <v>41205</v>
          </cell>
          <cell r="J64">
            <v>4452</v>
          </cell>
          <cell r="K64">
            <v>4367</v>
          </cell>
          <cell r="L64">
            <v>45657</v>
          </cell>
          <cell r="M64">
            <v>70</v>
          </cell>
          <cell r="N64">
            <v>15</v>
          </cell>
          <cell r="O64">
            <v>363.91666666666669</v>
          </cell>
          <cell r="P64">
            <v>302</v>
          </cell>
          <cell r="Q64">
            <v>61.916666666666686</v>
          </cell>
        </row>
        <row r="65">
          <cell r="A65">
            <v>951</v>
          </cell>
          <cell r="B65" t="str">
            <v>10EMP0951</v>
          </cell>
          <cell r="C65" t="str">
            <v>Biju Sasidharan Susheela</v>
          </cell>
          <cell r="D65" t="str">
            <v>End Cutting Operator</v>
          </cell>
          <cell r="E65" t="str">
            <v>Worker</v>
          </cell>
          <cell r="F65" t="str">
            <v>Alubond Middle East FZC</v>
          </cell>
          <cell r="G65" t="str">
            <v>ACP</v>
          </cell>
          <cell r="H65" t="str">
            <v>Production (ACP)</v>
          </cell>
          <cell r="I65">
            <v>41248</v>
          </cell>
          <cell r="J65">
            <v>4409</v>
          </cell>
          <cell r="K65">
            <v>4296</v>
          </cell>
          <cell r="L65">
            <v>45657</v>
          </cell>
          <cell r="M65">
            <v>113</v>
          </cell>
          <cell r="N65">
            <v>0</v>
          </cell>
          <cell r="O65">
            <v>358</v>
          </cell>
          <cell r="P65">
            <v>371</v>
          </cell>
          <cell r="Q65">
            <v>-13</v>
          </cell>
        </row>
        <row r="66">
          <cell r="A66">
            <v>976</v>
          </cell>
          <cell r="B66" t="str">
            <v>10EMP0976</v>
          </cell>
          <cell r="C66" t="str">
            <v>Nasar Khan Muhammad Afzal Khan</v>
          </cell>
          <cell r="D66" t="str">
            <v>Bus &amp; Light Vehicle Driver - Nissan 14 Seater</v>
          </cell>
          <cell r="E66" t="str">
            <v>Support Staff</v>
          </cell>
          <cell r="F66" t="str">
            <v>Alubond Middle East FZC</v>
          </cell>
          <cell r="G66" t="str">
            <v>Eurocon Service Dpt</v>
          </cell>
          <cell r="H66" t="str">
            <v>Transport</v>
          </cell>
          <cell r="I66">
            <v>41276</v>
          </cell>
          <cell r="J66">
            <v>4381</v>
          </cell>
          <cell r="K66">
            <v>4257</v>
          </cell>
          <cell r="L66">
            <v>45657</v>
          </cell>
          <cell r="M66">
            <v>109</v>
          </cell>
          <cell r="N66">
            <v>15</v>
          </cell>
          <cell r="O66">
            <v>354.75</v>
          </cell>
          <cell r="P66">
            <v>317</v>
          </cell>
          <cell r="Q66">
            <v>37.75</v>
          </cell>
        </row>
        <row r="67">
          <cell r="A67">
            <v>979</v>
          </cell>
          <cell r="B67" t="str">
            <v>10EMP0979</v>
          </cell>
          <cell r="C67" t="str">
            <v>Gopakumar Gopinathan Pillai</v>
          </cell>
          <cell r="D67" t="str">
            <v>Asst Manager Planning</v>
          </cell>
          <cell r="E67" t="str">
            <v>Staff</v>
          </cell>
          <cell r="F67" t="str">
            <v>Alubond Middle East FZC</v>
          </cell>
          <cell r="G67" t="str">
            <v>ACP</v>
          </cell>
          <cell r="H67" t="str">
            <v>Back Office Production (ACP)</v>
          </cell>
          <cell r="I67">
            <v>41296</v>
          </cell>
          <cell r="J67">
            <v>4361</v>
          </cell>
          <cell r="K67">
            <v>4284</v>
          </cell>
          <cell r="L67">
            <v>45657</v>
          </cell>
          <cell r="M67">
            <v>77</v>
          </cell>
          <cell r="N67">
            <v>0</v>
          </cell>
          <cell r="O67">
            <v>357</v>
          </cell>
          <cell r="P67">
            <v>363</v>
          </cell>
          <cell r="Q67">
            <v>-6</v>
          </cell>
        </row>
        <row r="68">
          <cell r="A68">
            <v>999</v>
          </cell>
          <cell r="B68" t="str">
            <v>10EMP0999</v>
          </cell>
          <cell r="C68" t="str">
            <v xml:space="preserve">Gul Meen Khan Lal Meer Khan </v>
          </cell>
          <cell r="D68" t="str">
            <v>Driver - Toyota Avanza</v>
          </cell>
          <cell r="E68" t="str">
            <v>Support Staff</v>
          </cell>
          <cell r="F68" t="str">
            <v>Metalplast Industries FZE</v>
          </cell>
          <cell r="G68" t="str">
            <v>Metalplast</v>
          </cell>
          <cell r="H68" t="str">
            <v>M/P - Transport</v>
          </cell>
          <cell r="I68">
            <v>41365</v>
          </cell>
          <cell r="J68">
            <v>4292</v>
          </cell>
          <cell r="K68">
            <v>4196</v>
          </cell>
          <cell r="L68">
            <v>45657</v>
          </cell>
          <cell r="M68">
            <v>96</v>
          </cell>
          <cell r="N68">
            <v>0</v>
          </cell>
          <cell r="O68">
            <v>349.66666666666663</v>
          </cell>
          <cell r="P68">
            <v>314</v>
          </cell>
          <cell r="Q68">
            <v>35.666666666666629</v>
          </cell>
        </row>
        <row r="69">
          <cell r="A69">
            <v>1016</v>
          </cell>
          <cell r="B69" t="str">
            <v>10EMP1016</v>
          </cell>
          <cell r="C69" t="str">
            <v>Mohammed Abul Hasan</v>
          </cell>
          <cell r="D69" t="str">
            <v>Supervisor</v>
          </cell>
          <cell r="E69" t="str">
            <v>Support Staff</v>
          </cell>
          <cell r="F69" t="str">
            <v>Metalplast Industries FZE</v>
          </cell>
          <cell r="G69" t="str">
            <v>Metalplast</v>
          </cell>
          <cell r="H69" t="str">
            <v>Metalplast Production</v>
          </cell>
          <cell r="I69">
            <v>41410</v>
          </cell>
          <cell r="J69">
            <v>4247</v>
          </cell>
          <cell r="K69">
            <v>4229</v>
          </cell>
          <cell r="L69">
            <v>45657</v>
          </cell>
          <cell r="M69">
            <v>18</v>
          </cell>
          <cell r="N69">
            <v>0</v>
          </cell>
          <cell r="O69">
            <v>352.41666666666663</v>
          </cell>
          <cell r="P69">
            <v>210</v>
          </cell>
          <cell r="Q69">
            <v>142.41666666666663</v>
          </cell>
        </row>
        <row r="70">
          <cell r="A70">
            <v>1076</v>
          </cell>
          <cell r="B70" t="str">
            <v>10EMP1076</v>
          </cell>
          <cell r="C70" t="str">
            <v>Naveed Anjum Muhammad Ramzan Bagoo</v>
          </cell>
          <cell r="D70" t="str">
            <v>Electrician</v>
          </cell>
          <cell r="E70" t="str">
            <v>Worker</v>
          </cell>
          <cell r="F70" t="str">
            <v>Alubond Middle East FZC</v>
          </cell>
          <cell r="G70" t="str">
            <v>Plant Maintenance</v>
          </cell>
          <cell r="H70" t="str">
            <v>Maintenance (CCL)</v>
          </cell>
          <cell r="I70">
            <v>40717</v>
          </cell>
          <cell r="J70">
            <v>4940</v>
          </cell>
          <cell r="K70">
            <v>4902</v>
          </cell>
          <cell r="L70">
            <v>45657</v>
          </cell>
          <cell r="M70">
            <v>17</v>
          </cell>
          <cell r="N70">
            <v>21</v>
          </cell>
          <cell r="O70">
            <v>408.5</v>
          </cell>
          <cell r="P70">
            <v>390</v>
          </cell>
          <cell r="Q70">
            <v>18.5</v>
          </cell>
        </row>
        <row r="71">
          <cell r="A71">
            <v>1077</v>
          </cell>
          <cell r="B71" t="str">
            <v>10EMP1077</v>
          </cell>
          <cell r="C71" t="str">
            <v>Razib Shahid Miah</v>
          </cell>
          <cell r="D71" t="str">
            <v>Maintenance Fitter</v>
          </cell>
          <cell r="E71" t="str">
            <v>Worker</v>
          </cell>
          <cell r="F71" t="str">
            <v>Alubond Middle East FZC</v>
          </cell>
          <cell r="G71" t="str">
            <v>Plant Maintenance</v>
          </cell>
          <cell r="H71" t="str">
            <v>Maintenance (CCL)</v>
          </cell>
          <cell r="I71">
            <v>38980</v>
          </cell>
          <cell r="J71">
            <v>6677</v>
          </cell>
          <cell r="K71">
            <v>6441</v>
          </cell>
          <cell r="L71">
            <v>45657</v>
          </cell>
          <cell r="M71">
            <v>236</v>
          </cell>
          <cell r="N71">
            <v>0</v>
          </cell>
          <cell r="O71">
            <v>536.75</v>
          </cell>
          <cell r="P71">
            <v>310</v>
          </cell>
          <cell r="Q71">
            <v>226.75</v>
          </cell>
        </row>
        <row r="72">
          <cell r="A72">
            <v>1087</v>
          </cell>
          <cell r="B72" t="str">
            <v>10EMP1087</v>
          </cell>
          <cell r="C72" t="str">
            <v>Aneesh Jose</v>
          </cell>
          <cell r="D72" t="str">
            <v>CCL Supervisor</v>
          </cell>
          <cell r="E72" t="str">
            <v>Support Staff</v>
          </cell>
          <cell r="F72" t="str">
            <v>Alubond Middle East FZC</v>
          </cell>
          <cell r="G72" t="str">
            <v>CCL</v>
          </cell>
          <cell r="H72" t="str">
            <v>Production (CCL)</v>
          </cell>
          <cell r="I72">
            <v>40615</v>
          </cell>
          <cell r="J72">
            <v>5042</v>
          </cell>
          <cell r="K72">
            <v>4806</v>
          </cell>
          <cell r="L72">
            <v>45657</v>
          </cell>
          <cell r="M72">
            <v>236</v>
          </cell>
          <cell r="N72">
            <v>0</v>
          </cell>
          <cell r="O72">
            <v>400.5</v>
          </cell>
          <cell r="P72">
            <v>349</v>
          </cell>
          <cell r="Q72">
            <v>51.5</v>
          </cell>
        </row>
        <row r="73">
          <cell r="A73">
            <v>1090</v>
          </cell>
          <cell r="B73" t="str">
            <v>10EMP1090</v>
          </cell>
          <cell r="C73" t="str">
            <v>Ashraful Alam Jalil Sheikh</v>
          </cell>
          <cell r="D73" t="str">
            <v>Rewinding Operator</v>
          </cell>
          <cell r="E73" t="str">
            <v>Worker</v>
          </cell>
          <cell r="F73" t="str">
            <v>Alubond Middle East FZC</v>
          </cell>
          <cell r="G73" t="str">
            <v>CCL</v>
          </cell>
          <cell r="H73" t="str">
            <v>Production (CCL)</v>
          </cell>
          <cell r="I73">
            <v>41017</v>
          </cell>
          <cell r="J73">
            <v>4640</v>
          </cell>
          <cell r="K73">
            <v>4407</v>
          </cell>
          <cell r="L73">
            <v>45657</v>
          </cell>
          <cell r="M73">
            <v>223</v>
          </cell>
          <cell r="N73">
            <v>10</v>
          </cell>
          <cell r="O73">
            <v>367.25</v>
          </cell>
          <cell r="P73">
            <v>331</v>
          </cell>
          <cell r="Q73">
            <v>36.25</v>
          </cell>
        </row>
        <row r="74">
          <cell r="A74">
            <v>1093</v>
          </cell>
          <cell r="B74" t="str">
            <v>10EMP1093</v>
          </cell>
          <cell r="C74" t="str">
            <v>Rafiqul Islam Abu Bakkar</v>
          </cell>
          <cell r="D74" t="str">
            <v>Finish Coating operator</v>
          </cell>
          <cell r="E74" t="str">
            <v>Worker</v>
          </cell>
          <cell r="F74" t="str">
            <v>Alubond Middle East FZC</v>
          </cell>
          <cell r="G74" t="str">
            <v>CCL</v>
          </cell>
          <cell r="H74" t="str">
            <v>Production (CCL)</v>
          </cell>
          <cell r="I74">
            <v>40829</v>
          </cell>
          <cell r="J74">
            <v>4828</v>
          </cell>
          <cell r="K74">
            <v>4704</v>
          </cell>
          <cell r="L74">
            <v>45657</v>
          </cell>
          <cell r="M74">
            <v>124</v>
          </cell>
          <cell r="N74">
            <v>0</v>
          </cell>
          <cell r="O74">
            <v>392</v>
          </cell>
          <cell r="P74">
            <v>300</v>
          </cell>
          <cell r="Q74">
            <v>92</v>
          </cell>
        </row>
        <row r="75">
          <cell r="A75">
            <v>1106</v>
          </cell>
          <cell r="B75" t="str">
            <v>10EMP1106</v>
          </cell>
          <cell r="C75" t="str">
            <v>Ram Chandra Pradhan</v>
          </cell>
          <cell r="D75" t="str">
            <v>Coating Operator</v>
          </cell>
          <cell r="E75" t="str">
            <v>Worker</v>
          </cell>
          <cell r="F75" t="str">
            <v>Metalplast Industries FZE</v>
          </cell>
          <cell r="G75" t="str">
            <v>CCL</v>
          </cell>
          <cell r="H75" t="str">
            <v>Production (CCL)</v>
          </cell>
          <cell r="I75">
            <v>41582</v>
          </cell>
          <cell r="J75">
            <v>4075</v>
          </cell>
          <cell r="K75">
            <v>3903</v>
          </cell>
          <cell r="L75">
            <v>45657</v>
          </cell>
          <cell r="M75">
            <v>172</v>
          </cell>
          <cell r="N75">
            <v>0</v>
          </cell>
          <cell r="O75">
            <v>325.25</v>
          </cell>
          <cell r="P75">
            <v>240</v>
          </cell>
          <cell r="Q75">
            <v>85.25</v>
          </cell>
        </row>
        <row r="76">
          <cell r="A76">
            <v>1109</v>
          </cell>
          <cell r="B76" t="str">
            <v>10EMP1109</v>
          </cell>
          <cell r="C76" t="str">
            <v>Hardev Singh</v>
          </cell>
          <cell r="D76" t="str">
            <v>Forklift Operator</v>
          </cell>
          <cell r="E76" t="str">
            <v>Worker</v>
          </cell>
          <cell r="F76" t="str">
            <v>Metalplast Industries FZE</v>
          </cell>
          <cell r="G76" t="str">
            <v>Metalplast</v>
          </cell>
          <cell r="H76" t="str">
            <v>Supply Chain - Warehouse</v>
          </cell>
          <cell r="I76">
            <v>42742</v>
          </cell>
          <cell r="J76">
            <v>2915</v>
          </cell>
          <cell r="K76">
            <v>2703</v>
          </cell>
          <cell r="L76">
            <v>45657</v>
          </cell>
          <cell r="M76">
            <v>140</v>
          </cell>
          <cell r="N76">
            <v>72</v>
          </cell>
          <cell r="O76">
            <v>225.25</v>
          </cell>
          <cell r="P76">
            <v>225</v>
          </cell>
          <cell r="Q76">
            <v>0.25</v>
          </cell>
        </row>
        <row r="77">
          <cell r="A77">
            <v>1183</v>
          </cell>
          <cell r="B77" t="str">
            <v>10EMP1183</v>
          </cell>
          <cell r="C77" t="str">
            <v>Safdar Hussain Muhammad Raheem</v>
          </cell>
          <cell r="D77" t="str">
            <v>Helper</v>
          </cell>
          <cell r="E77" t="str">
            <v>Worker</v>
          </cell>
          <cell r="F77" t="str">
            <v>Mulk Holdings FZC</v>
          </cell>
          <cell r="G77" t="str">
            <v>Supply Chain (Eurocon)</v>
          </cell>
          <cell r="H77" t="str">
            <v>Supply Chain - Warehouse</v>
          </cell>
          <cell r="I77">
            <v>41694</v>
          </cell>
          <cell r="J77">
            <v>3963</v>
          </cell>
          <cell r="K77">
            <v>3905</v>
          </cell>
          <cell r="L77">
            <v>45657</v>
          </cell>
          <cell r="M77">
            <v>58</v>
          </cell>
          <cell r="N77">
            <v>0</v>
          </cell>
          <cell r="O77">
            <v>325.41666666666663</v>
          </cell>
          <cell r="P77">
            <v>250</v>
          </cell>
          <cell r="Q77">
            <v>75.416666666666629</v>
          </cell>
        </row>
        <row r="78">
          <cell r="A78">
            <v>1186</v>
          </cell>
          <cell r="B78" t="str">
            <v>10EMP1186</v>
          </cell>
          <cell r="C78" t="str">
            <v>Israr Ahmed Bashir Ahmed</v>
          </cell>
          <cell r="D78" t="str">
            <v>Assistant Entry Operator</v>
          </cell>
          <cell r="E78" t="str">
            <v>Worker</v>
          </cell>
          <cell r="F78" t="str">
            <v>Mulk Holdings FZC</v>
          </cell>
          <cell r="G78" t="str">
            <v>CCL</v>
          </cell>
          <cell r="H78" t="str">
            <v>Production (CCL)</v>
          </cell>
          <cell r="I78">
            <v>41694</v>
          </cell>
          <cell r="J78">
            <v>3963</v>
          </cell>
          <cell r="K78">
            <v>3871</v>
          </cell>
          <cell r="L78">
            <v>45657</v>
          </cell>
          <cell r="M78">
            <v>31</v>
          </cell>
          <cell r="N78">
            <v>61</v>
          </cell>
          <cell r="O78">
            <v>322.58333333333337</v>
          </cell>
          <cell r="P78">
            <v>240</v>
          </cell>
          <cell r="Q78">
            <v>82.583333333333371</v>
          </cell>
        </row>
        <row r="79">
          <cell r="A79">
            <v>1194</v>
          </cell>
          <cell r="B79" t="str">
            <v>10EMP1194</v>
          </cell>
          <cell r="C79" t="str">
            <v>Ravi Pal Singh</v>
          </cell>
          <cell r="D79" t="str">
            <v>Entry Helper</v>
          </cell>
          <cell r="E79" t="str">
            <v>Worker</v>
          </cell>
          <cell r="F79" t="str">
            <v>Mulk Holdings FZC</v>
          </cell>
          <cell r="G79" t="str">
            <v>CCL</v>
          </cell>
          <cell r="H79" t="str">
            <v>Production (CCL)</v>
          </cell>
          <cell r="I79">
            <v>41707</v>
          </cell>
          <cell r="J79">
            <v>3950</v>
          </cell>
          <cell r="K79">
            <v>3813</v>
          </cell>
          <cell r="L79">
            <v>45657</v>
          </cell>
          <cell r="M79">
            <v>117</v>
          </cell>
          <cell r="N79">
            <v>20</v>
          </cell>
          <cell r="O79">
            <v>317.75</v>
          </cell>
          <cell r="P79">
            <v>240</v>
          </cell>
          <cell r="Q79">
            <v>77.75</v>
          </cell>
        </row>
        <row r="80">
          <cell r="A80">
            <v>1206</v>
          </cell>
          <cell r="B80" t="str">
            <v>10EMP1206</v>
          </cell>
          <cell r="C80" t="str">
            <v>Muhammad Saleem Muhammad Asghar</v>
          </cell>
          <cell r="D80" t="str">
            <v>Helper</v>
          </cell>
          <cell r="E80" t="str">
            <v>Worker</v>
          </cell>
          <cell r="F80" t="str">
            <v>Mulk Holdings FZC</v>
          </cell>
          <cell r="G80" t="str">
            <v>Metalplast</v>
          </cell>
          <cell r="H80" t="str">
            <v>Metal Plast  - A2 Core Production</v>
          </cell>
          <cell r="I80">
            <v>41735</v>
          </cell>
          <cell r="J80">
            <v>3922</v>
          </cell>
          <cell r="K80">
            <v>3856</v>
          </cell>
          <cell r="L80">
            <v>45657</v>
          </cell>
          <cell r="M80">
            <v>66</v>
          </cell>
          <cell r="N80">
            <v>0</v>
          </cell>
          <cell r="O80">
            <v>321.33333333333331</v>
          </cell>
          <cell r="P80">
            <v>240</v>
          </cell>
          <cell r="Q80">
            <v>81.333333333333314</v>
          </cell>
        </row>
        <row r="81">
          <cell r="A81">
            <v>1207</v>
          </cell>
          <cell r="B81" t="str">
            <v>10EMP1207</v>
          </cell>
          <cell r="C81" t="str">
            <v>Muhammad Altaf Khan Muhammad Roshan</v>
          </cell>
          <cell r="D81" t="str">
            <v>Plant Operator</v>
          </cell>
          <cell r="E81" t="str">
            <v>Worker</v>
          </cell>
          <cell r="F81" t="str">
            <v>Mulk Holdings FZC</v>
          </cell>
          <cell r="G81" t="str">
            <v>Metalplast</v>
          </cell>
          <cell r="H81" t="str">
            <v xml:space="preserve">Blown Film </v>
          </cell>
          <cell r="I81">
            <v>41735</v>
          </cell>
          <cell r="J81">
            <v>3922</v>
          </cell>
          <cell r="K81">
            <v>3829</v>
          </cell>
          <cell r="L81">
            <v>45657</v>
          </cell>
          <cell r="M81">
            <v>93</v>
          </cell>
          <cell r="N81">
            <v>0</v>
          </cell>
          <cell r="O81">
            <v>319.08333333333331</v>
          </cell>
          <cell r="P81">
            <v>256</v>
          </cell>
          <cell r="Q81">
            <v>63.083333333333314</v>
          </cell>
        </row>
        <row r="82">
          <cell r="A82">
            <v>1208</v>
          </cell>
          <cell r="B82" t="str">
            <v>10EMP1208</v>
          </cell>
          <cell r="C82" t="str">
            <v>Santosh Kumar Tivari</v>
          </cell>
          <cell r="D82" t="str">
            <v>Plant Operator</v>
          </cell>
          <cell r="E82" t="str">
            <v>Worker</v>
          </cell>
          <cell r="F82" t="str">
            <v>Mulk Holdings FZC</v>
          </cell>
          <cell r="G82" t="str">
            <v>Metalplast</v>
          </cell>
          <cell r="H82" t="str">
            <v xml:space="preserve">Blown Film </v>
          </cell>
          <cell r="I82">
            <v>41738</v>
          </cell>
          <cell r="J82">
            <v>3919</v>
          </cell>
          <cell r="K82">
            <v>3883</v>
          </cell>
          <cell r="L82">
            <v>45657</v>
          </cell>
          <cell r="M82">
            <v>36</v>
          </cell>
          <cell r="N82">
            <v>0</v>
          </cell>
          <cell r="O82">
            <v>323.58333333333337</v>
          </cell>
          <cell r="P82">
            <v>210</v>
          </cell>
          <cell r="Q82">
            <v>113.58333333333337</v>
          </cell>
        </row>
        <row r="83">
          <cell r="A83">
            <v>1219</v>
          </cell>
          <cell r="B83" t="str">
            <v>10EMP1219</v>
          </cell>
          <cell r="C83" t="str">
            <v>Azam Qureshi Mohammed</v>
          </cell>
          <cell r="D83" t="str">
            <v>Admin Executive</v>
          </cell>
          <cell r="E83" t="str">
            <v>Staff</v>
          </cell>
          <cell r="F83" t="str">
            <v>Mulk Holdings FZC</v>
          </cell>
          <cell r="G83" t="str">
            <v>MH Shared Services</v>
          </cell>
          <cell r="H83" t="str">
            <v>Transport &amp; Logistics</v>
          </cell>
          <cell r="I83">
            <v>41770</v>
          </cell>
          <cell r="J83">
            <v>3887</v>
          </cell>
          <cell r="K83">
            <v>3715</v>
          </cell>
          <cell r="L83">
            <v>45657</v>
          </cell>
          <cell r="M83">
            <v>167</v>
          </cell>
          <cell r="N83">
            <v>5</v>
          </cell>
          <cell r="O83">
            <v>309.58333333333331</v>
          </cell>
          <cell r="P83">
            <v>275</v>
          </cell>
          <cell r="Q83">
            <v>34.583333333333314</v>
          </cell>
        </row>
        <row r="84">
          <cell r="A84">
            <v>1220</v>
          </cell>
          <cell r="B84" t="str">
            <v>10EMP1220</v>
          </cell>
          <cell r="C84" t="str">
            <v>Tufail Khan Kamin Shah</v>
          </cell>
          <cell r="D84" t="str">
            <v>Helper</v>
          </cell>
          <cell r="E84" t="str">
            <v>Worker</v>
          </cell>
          <cell r="F84" t="str">
            <v>Alubond Middle East FZC</v>
          </cell>
          <cell r="G84" t="str">
            <v>Metalplast</v>
          </cell>
          <cell r="H84" t="str">
            <v xml:space="preserve">Blown Film </v>
          </cell>
          <cell r="I84">
            <v>41770</v>
          </cell>
          <cell r="J84">
            <v>3887</v>
          </cell>
          <cell r="K84">
            <v>3586</v>
          </cell>
          <cell r="L84">
            <v>45657</v>
          </cell>
          <cell r="M84">
            <v>301</v>
          </cell>
          <cell r="N84">
            <v>0</v>
          </cell>
          <cell r="O84">
            <v>298.83333333333331</v>
          </cell>
          <cell r="P84">
            <v>219</v>
          </cell>
          <cell r="Q84">
            <v>79.833333333333314</v>
          </cell>
        </row>
        <row r="85">
          <cell r="A85">
            <v>1221</v>
          </cell>
          <cell r="B85" t="str">
            <v>10EMP1221</v>
          </cell>
          <cell r="C85" t="str">
            <v>Amarnath Kundan</v>
          </cell>
          <cell r="D85" t="str">
            <v>Helper</v>
          </cell>
          <cell r="E85" t="str">
            <v>Worker</v>
          </cell>
          <cell r="F85" t="str">
            <v>Metalplast Industries FZE</v>
          </cell>
          <cell r="G85" t="str">
            <v>Metalplast</v>
          </cell>
          <cell r="H85" t="str">
            <v>Metal Plast  - A2 Core Production</v>
          </cell>
          <cell r="I85">
            <v>41777</v>
          </cell>
          <cell r="J85">
            <v>3880</v>
          </cell>
          <cell r="K85">
            <v>3773</v>
          </cell>
          <cell r="L85">
            <v>45657</v>
          </cell>
          <cell r="M85">
            <v>107</v>
          </cell>
          <cell r="N85">
            <v>0</v>
          </cell>
          <cell r="O85">
            <v>314.41666666666669</v>
          </cell>
          <cell r="P85">
            <v>240</v>
          </cell>
          <cell r="Q85">
            <v>74.416666666666686</v>
          </cell>
        </row>
        <row r="86">
          <cell r="A86">
            <v>1263</v>
          </cell>
          <cell r="B86" t="str">
            <v>10EMP1263</v>
          </cell>
          <cell r="C86" t="str">
            <v>Unni Chuttakatt</v>
          </cell>
          <cell r="D86" t="str">
            <v>IT Manager</v>
          </cell>
          <cell r="E86" t="str">
            <v>Staff</v>
          </cell>
          <cell r="F86" t="str">
            <v>Mulk Holdings FZC</v>
          </cell>
          <cell r="G86" t="str">
            <v>MH Shared Services</v>
          </cell>
          <cell r="H86" t="str">
            <v>Information Technology</v>
          </cell>
          <cell r="I86">
            <v>41863</v>
          </cell>
          <cell r="J86">
            <v>3794</v>
          </cell>
          <cell r="K86">
            <v>3663</v>
          </cell>
          <cell r="L86">
            <v>45657</v>
          </cell>
          <cell r="M86">
            <v>131</v>
          </cell>
          <cell r="N86">
            <v>0</v>
          </cell>
          <cell r="O86">
            <v>305.25</v>
          </cell>
          <cell r="P86">
            <v>298</v>
          </cell>
          <cell r="Q86">
            <v>7.25</v>
          </cell>
        </row>
        <row r="87">
          <cell r="A87">
            <v>1282</v>
          </cell>
          <cell r="B87" t="str">
            <v>10EMP1282</v>
          </cell>
          <cell r="C87" t="str">
            <v>Amrik Suman</v>
          </cell>
          <cell r="D87" t="str">
            <v>Office Boy</v>
          </cell>
          <cell r="E87" t="str">
            <v>Worker</v>
          </cell>
          <cell r="F87" t="str">
            <v>Mulk Holdings FZC</v>
          </cell>
          <cell r="G87" t="str">
            <v>Eurocon Service Dpt</v>
          </cell>
          <cell r="H87" t="str">
            <v>Housekeeping</v>
          </cell>
          <cell r="I87">
            <v>41892</v>
          </cell>
          <cell r="J87">
            <v>3765</v>
          </cell>
          <cell r="K87">
            <v>3659</v>
          </cell>
          <cell r="L87">
            <v>45657</v>
          </cell>
          <cell r="M87">
            <v>106</v>
          </cell>
          <cell r="N87">
            <v>0</v>
          </cell>
          <cell r="O87">
            <v>304.91666666666669</v>
          </cell>
          <cell r="P87">
            <v>240</v>
          </cell>
          <cell r="Q87">
            <v>64.916666666666686</v>
          </cell>
        </row>
        <row r="88">
          <cell r="A88">
            <v>1307</v>
          </cell>
          <cell r="B88" t="str">
            <v>10EMP1307</v>
          </cell>
          <cell r="C88" t="str">
            <v>Praveen Prakash Noha</v>
          </cell>
          <cell r="D88" t="str">
            <v>Operator</v>
          </cell>
          <cell r="E88" t="str">
            <v>Worker</v>
          </cell>
          <cell r="F88" t="str">
            <v>Mulk Holdings FZC</v>
          </cell>
          <cell r="G88" t="str">
            <v>ACP</v>
          </cell>
          <cell r="H88" t="str">
            <v>Production (ACP)</v>
          </cell>
          <cell r="I88">
            <v>41913</v>
          </cell>
          <cell r="J88">
            <v>3744</v>
          </cell>
          <cell r="K88">
            <v>3651</v>
          </cell>
          <cell r="L88">
            <v>45657</v>
          </cell>
          <cell r="M88">
            <v>78</v>
          </cell>
          <cell r="N88">
            <v>15</v>
          </cell>
          <cell r="O88">
            <v>304.25</v>
          </cell>
          <cell r="P88">
            <v>262</v>
          </cell>
          <cell r="Q88">
            <v>42.25</v>
          </cell>
        </row>
        <row r="89">
          <cell r="A89">
            <v>1315</v>
          </cell>
          <cell r="B89" t="str">
            <v>10EMP1315</v>
          </cell>
          <cell r="C89" t="str">
            <v>Amarjeet Raja Ram</v>
          </cell>
          <cell r="D89" t="str">
            <v>Helper</v>
          </cell>
          <cell r="E89" t="str">
            <v>Worker</v>
          </cell>
          <cell r="F89" t="str">
            <v>Mulk Holdings FZC</v>
          </cell>
          <cell r="G89" t="str">
            <v>ACP</v>
          </cell>
          <cell r="H89" t="str">
            <v>Production (ACP)</v>
          </cell>
          <cell r="I89">
            <v>41921</v>
          </cell>
          <cell r="J89">
            <v>3736</v>
          </cell>
          <cell r="K89">
            <v>3637</v>
          </cell>
          <cell r="L89">
            <v>45657</v>
          </cell>
          <cell r="M89">
            <v>99</v>
          </cell>
          <cell r="N89">
            <v>0</v>
          </cell>
          <cell r="O89">
            <v>303.08333333333331</v>
          </cell>
          <cell r="P89">
            <v>241</v>
          </cell>
          <cell r="Q89">
            <v>62.083333333333314</v>
          </cell>
        </row>
        <row r="90">
          <cell r="A90">
            <v>1319</v>
          </cell>
          <cell r="B90" t="str">
            <v>10EMP1319</v>
          </cell>
          <cell r="C90" t="str">
            <v>Mohammed Ziyauddin Shaikh‎</v>
          </cell>
          <cell r="D90" t="str">
            <v>Area Manager</v>
          </cell>
          <cell r="E90" t="str">
            <v>Staff</v>
          </cell>
          <cell r="F90" t="str">
            <v>Alubond Middle East FZC</v>
          </cell>
          <cell r="G90" t="str">
            <v>Sales &amp; Marketing</v>
          </cell>
          <cell r="H90" t="str">
            <v>Sales &amp; Marketing</v>
          </cell>
          <cell r="I90">
            <v>41926</v>
          </cell>
          <cell r="J90">
            <v>3731</v>
          </cell>
          <cell r="K90">
            <v>3705</v>
          </cell>
          <cell r="L90">
            <v>45657</v>
          </cell>
          <cell r="M90">
            <v>9</v>
          </cell>
          <cell r="N90">
            <v>17</v>
          </cell>
          <cell r="O90">
            <v>308.75</v>
          </cell>
          <cell r="P90">
            <v>283</v>
          </cell>
          <cell r="Q90">
            <v>25.75</v>
          </cell>
        </row>
        <row r="91">
          <cell r="A91">
            <v>1345</v>
          </cell>
          <cell r="B91" t="str">
            <v>10EMP1345</v>
          </cell>
          <cell r="C91" t="str">
            <v>Vasanth Kishore Attota</v>
          </cell>
          <cell r="D91" t="str">
            <v>Managing Director</v>
          </cell>
          <cell r="E91" t="str">
            <v>Staff</v>
          </cell>
          <cell r="F91" t="str">
            <v>Prismatic General Trading - FZE</v>
          </cell>
          <cell r="G91" t="str">
            <v>PRISMATIC (ALUBOND IRAN)</v>
          </cell>
          <cell r="H91" t="str">
            <v>Prismatic Operatios</v>
          </cell>
          <cell r="I91">
            <v>41594</v>
          </cell>
          <cell r="J91">
            <v>4063</v>
          </cell>
          <cell r="K91">
            <v>4076</v>
          </cell>
          <cell r="L91">
            <v>45657</v>
          </cell>
          <cell r="M91">
            <v>-13</v>
          </cell>
          <cell r="N91">
            <v>0</v>
          </cell>
          <cell r="O91">
            <v>339.66666666666669</v>
          </cell>
          <cell r="P91">
            <v>85</v>
          </cell>
          <cell r="Q91">
            <v>254.66666666666669</v>
          </cell>
        </row>
        <row r="92">
          <cell r="A92">
            <v>1360</v>
          </cell>
          <cell r="B92" t="str">
            <v>10EMP1360</v>
          </cell>
          <cell r="C92" t="str">
            <v>Buchi Babu Daram</v>
          </cell>
          <cell r="D92" t="str">
            <v>Production Manager</v>
          </cell>
          <cell r="E92" t="str">
            <v>Staff</v>
          </cell>
          <cell r="F92" t="str">
            <v>Mulk Holdings FZC</v>
          </cell>
          <cell r="G92" t="str">
            <v>CCL Serbia</v>
          </cell>
          <cell r="H92" t="str">
            <v>Production (CCL)</v>
          </cell>
          <cell r="I92">
            <v>41997</v>
          </cell>
          <cell r="J92">
            <v>3660</v>
          </cell>
          <cell r="K92">
            <v>3652</v>
          </cell>
          <cell r="L92">
            <v>45657</v>
          </cell>
          <cell r="M92">
            <v>1</v>
          </cell>
          <cell r="N92">
            <v>7</v>
          </cell>
          <cell r="O92">
            <v>304.33333333333331</v>
          </cell>
          <cell r="P92">
            <v>132</v>
          </cell>
          <cell r="Q92">
            <v>172.33333333333331</v>
          </cell>
        </row>
        <row r="93">
          <cell r="A93">
            <v>1376</v>
          </cell>
          <cell r="B93" t="str">
            <v>10EMP1376</v>
          </cell>
          <cell r="C93" t="str">
            <v>Vishnu Mohanan</v>
          </cell>
          <cell r="D93" t="str">
            <v>Coating Operator</v>
          </cell>
          <cell r="E93" t="str">
            <v>Worker</v>
          </cell>
          <cell r="F93" t="str">
            <v>Alubond Middle East FZC</v>
          </cell>
          <cell r="G93" t="str">
            <v>CCL</v>
          </cell>
          <cell r="H93" t="str">
            <v>Production (CCL)</v>
          </cell>
          <cell r="I93">
            <v>42054</v>
          </cell>
          <cell r="J93">
            <v>3603</v>
          </cell>
          <cell r="K93">
            <v>3537</v>
          </cell>
          <cell r="L93">
            <v>45657</v>
          </cell>
          <cell r="M93">
            <v>66</v>
          </cell>
          <cell r="N93">
            <v>0</v>
          </cell>
          <cell r="O93">
            <v>294.75</v>
          </cell>
          <cell r="P93">
            <v>231</v>
          </cell>
          <cell r="Q93">
            <v>63.75</v>
          </cell>
        </row>
        <row r="94">
          <cell r="A94">
            <v>1399</v>
          </cell>
          <cell r="B94" t="str">
            <v>10EMP1399</v>
          </cell>
          <cell r="C94" t="str">
            <v>Bachittar Singh</v>
          </cell>
          <cell r="D94" t="str">
            <v>Forklift Operator</v>
          </cell>
          <cell r="E94" t="str">
            <v>Worker</v>
          </cell>
          <cell r="F94" t="str">
            <v>Metalplast Industries FZE</v>
          </cell>
          <cell r="G94" t="str">
            <v>Metalplast</v>
          </cell>
          <cell r="H94" t="str">
            <v>Metal Plast  - A2 Core Production</v>
          </cell>
          <cell r="I94">
            <v>42085</v>
          </cell>
          <cell r="J94">
            <v>3572</v>
          </cell>
          <cell r="K94">
            <v>3341</v>
          </cell>
          <cell r="L94">
            <v>45657</v>
          </cell>
          <cell r="M94">
            <v>222</v>
          </cell>
          <cell r="N94">
            <v>9</v>
          </cell>
          <cell r="O94">
            <v>278.41666666666663</v>
          </cell>
          <cell r="P94">
            <v>240</v>
          </cell>
          <cell r="Q94">
            <v>38.416666666666629</v>
          </cell>
        </row>
        <row r="95">
          <cell r="A95">
            <v>1402</v>
          </cell>
          <cell r="B95" t="str">
            <v>10EMP1402</v>
          </cell>
          <cell r="C95" t="str">
            <v>Khushali Bhagirath</v>
          </cell>
          <cell r="D95" t="str">
            <v>FR Igglo Helper Line 3</v>
          </cell>
          <cell r="E95" t="str">
            <v>Worker</v>
          </cell>
          <cell r="F95" t="str">
            <v>Alubond Middle East FZC</v>
          </cell>
          <cell r="G95" t="str">
            <v>Metalplast</v>
          </cell>
          <cell r="H95" t="str">
            <v>Metal Plast  - A2 Core Production</v>
          </cell>
          <cell r="I95">
            <v>42089</v>
          </cell>
          <cell r="J95">
            <v>3568</v>
          </cell>
          <cell r="K95">
            <v>3523</v>
          </cell>
          <cell r="L95">
            <v>45657</v>
          </cell>
          <cell r="M95">
            <v>45</v>
          </cell>
          <cell r="N95">
            <v>0</v>
          </cell>
          <cell r="O95">
            <v>293.58333333333337</v>
          </cell>
          <cell r="P95">
            <v>240</v>
          </cell>
          <cell r="Q95">
            <v>53.583333333333371</v>
          </cell>
        </row>
        <row r="96">
          <cell r="A96">
            <v>1417</v>
          </cell>
          <cell r="B96" t="str">
            <v>10EMP1417</v>
          </cell>
          <cell r="C96" t="str">
            <v>Nawab Afaque Mohammed Khan</v>
          </cell>
          <cell r="D96" t="str">
            <v>Internal Auditor</v>
          </cell>
          <cell r="E96" t="str">
            <v>Staff</v>
          </cell>
          <cell r="F96" t="str">
            <v>Mulk Holdings FZC</v>
          </cell>
          <cell r="G96" t="str">
            <v>Supply Chain (Eurocon)</v>
          </cell>
          <cell r="H96" t="str">
            <v>Supply Chain - Purchase</v>
          </cell>
          <cell r="I96">
            <v>42120</v>
          </cell>
          <cell r="J96">
            <v>3537</v>
          </cell>
          <cell r="K96">
            <v>3458</v>
          </cell>
          <cell r="L96">
            <v>45657</v>
          </cell>
          <cell r="M96">
            <v>79</v>
          </cell>
          <cell r="N96">
            <v>0</v>
          </cell>
          <cell r="O96">
            <v>288.16666666666669</v>
          </cell>
          <cell r="P96">
            <v>216</v>
          </cell>
          <cell r="Q96">
            <v>72.166666666666686</v>
          </cell>
        </row>
        <row r="97">
          <cell r="A97">
            <v>1539</v>
          </cell>
          <cell r="B97" t="str">
            <v>10EMP1539</v>
          </cell>
          <cell r="C97" t="str">
            <v>Salahudheen Karikuzhiyan Variyath</v>
          </cell>
          <cell r="D97" t="str">
            <v>Light Vehicle/Bus Driver - Yaris 82330</v>
          </cell>
          <cell r="E97" t="str">
            <v>Support Staff</v>
          </cell>
          <cell r="F97" t="str">
            <v>Alubond Middle East FZC</v>
          </cell>
          <cell r="G97" t="str">
            <v>Eurocon Service Dpt</v>
          </cell>
          <cell r="H97" t="str">
            <v>Transport</v>
          </cell>
          <cell r="I97">
            <v>42260</v>
          </cell>
          <cell r="J97">
            <v>3397</v>
          </cell>
          <cell r="K97">
            <v>3283</v>
          </cell>
          <cell r="L97">
            <v>45657</v>
          </cell>
          <cell r="M97">
            <v>114</v>
          </cell>
          <cell r="N97">
            <v>0</v>
          </cell>
          <cell r="O97">
            <v>273.58333333333331</v>
          </cell>
          <cell r="P97">
            <v>241</v>
          </cell>
          <cell r="Q97">
            <v>32.583333333333314</v>
          </cell>
        </row>
        <row r="98">
          <cell r="A98">
            <v>1544</v>
          </cell>
          <cell r="B98" t="str">
            <v>10EMP1544</v>
          </cell>
          <cell r="C98" t="str">
            <v>Sanjay Kumar Kamala Prasad</v>
          </cell>
          <cell r="D98" t="str">
            <v>Helper</v>
          </cell>
          <cell r="E98" t="str">
            <v>Worker</v>
          </cell>
          <cell r="F98" t="str">
            <v>Alubond Middle East FZC</v>
          </cell>
          <cell r="G98" t="str">
            <v>Metalplast</v>
          </cell>
          <cell r="H98" t="str">
            <v xml:space="preserve">Blown Film </v>
          </cell>
          <cell r="I98">
            <v>42261</v>
          </cell>
          <cell r="J98">
            <v>3396</v>
          </cell>
          <cell r="K98">
            <v>3293</v>
          </cell>
          <cell r="L98">
            <v>45657</v>
          </cell>
          <cell r="M98">
            <v>103</v>
          </cell>
          <cell r="N98">
            <v>0</v>
          </cell>
          <cell r="O98">
            <v>274.41666666666669</v>
          </cell>
          <cell r="P98">
            <v>180</v>
          </cell>
          <cell r="Q98">
            <v>94.416666666666686</v>
          </cell>
        </row>
        <row r="99">
          <cell r="A99">
            <v>1570</v>
          </cell>
          <cell r="B99" t="str">
            <v>10EMP1570</v>
          </cell>
          <cell r="C99" t="str">
            <v>Chandra Mohan</v>
          </cell>
          <cell r="D99" t="str">
            <v>Personal Assistant to Deputy Chairperson</v>
          </cell>
          <cell r="E99" t="str">
            <v>Staff</v>
          </cell>
          <cell r="F99" t="str">
            <v xml:space="preserve">Tradepros General Trading FZE </v>
          </cell>
          <cell r="G99" t="str">
            <v>Management Properties</v>
          </cell>
          <cell r="H99" t="str">
            <v>Management Office</v>
          </cell>
          <cell r="I99">
            <v>42125</v>
          </cell>
          <cell r="J99">
            <v>3532</v>
          </cell>
          <cell r="K99">
            <v>3532</v>
          </cell>
          <cell r="L99">
            <v>45657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>
            <v>1605</v>
          </cell>
          <cell r="B100" t="str">
            <v>10EMP1605</v>
          </cell>
          <cell r="C100" t="str">
            <v>Manoj Indika Kelum Mahingoda Mahingoda Naidelage</v>
          </cell>
          <cell r="D100" t="str">
            <v>Security Guard</v>
          </cell>
          <cell r="E100" t="str">
            <v>Support Staff</v>
          </cell>
          <cell r="F100" t="str">
            <v>Metalplast Industries FZE</v>
          </cell>
          <cell r="G100" t="str">
            <v>Eurocon Service Dpt</v>
          </cell>
          <cell r="H100" t="str">
            <v>Camp Security</v>
          </cell>
          <cell r="I100">
            <v>42439</v>
          </cell>
          <cell r="J100">
            <v>3218</v>
          </cell>
          <cell r="K100">
            <v>3184</v>
          </cell>
          <cell r="L100">
            <v>45657</v>
          </cell>
          <cell r="M100">
            <v>16</v>
          </cell>
          <cell r="N100">
            <v>18</v>
          </cell>
          <cell r="O100">
            <v>265.33333333333337</v>
          </cell>
          <cell r="P100">
            <v>210</v>
          </cell>
          <cell r="Q100">
            <v>55.333333333333371</v>
          </cell>
        </row>
        <row r="101">
          <cell r="A101">
            <v>1608</v>
          </cell>
          <cell r="B101" t="str">
            <v>10EMP1608</v>
          </cell>
          <cell r="C101" t="str">
            <v>Fayaz Ali Mohammed</v>
          </cell>
          <cell r="D101" t="str">
            <v>Marketing Manager</v>
          </cell>
          <cell r="E101" t="str">
            <v>Staff</v>
          </cell>
          <cell r="F101" t="str">
            <v>T Ten Sports Management FZCO</v>
          </cell>
          <cell r="G101" t="str">
            <v>Sales &amp; Marketing</v>
          </cell>
          <cell r="H101" t="str">
            <v>Sales &amp; Marketing</v>
          </cell>
          <cell r="I101">
            <v>42449</v>
          </cell>
          <cell r="J101">
            <v>3208</v>
          </cell>
          <cell r="K101">
            <v>3182</v>
          </cell>
          <cell r="L101">
            <v>45657</v>
          </cell>
          <cell r="M101">
            <v>26</v>
          </cell>
          <cell r="N101">
            <v>0</v>
          </cell>
          <cell r="O101">
            <v>265.16666666666663</v>
          </cell>
          <cell r="P101">
            <v>200</v>
          </cell>
          <cell r="Q101">
            <v>65.166666666666629</v>
          </cell>
        </row>
        <row r="102">
          <cell r="A102">
            <v>1611</v>
          </cell>
          <cell r="B102" t="str">
            <v>10EMP1611</v>
          </cell>
          <cell r="C102" t="str">
            <v xml:space="preserve">Sunil Rana </v>
          </cell>
          <cell r="D102" t="str">
            <v>Supervisor</v>
          </cell>
          <cell r="E102" t="str">
            <v>Staff</v>
          </cell>
          <cell r="F102" t="str">
            <v>Ajman Cricket Club Company - FZC</v>
          </cell>
          <cell r="G102" t="str">
            <v>Ajman Cricket Club</v>
          </cell>
          <cell r="H102" t="str">
            <v>Cricket Ground</v>
          </cell>
          <cell r="I102">
            <v>42477</v>
          </cell>
          <cell r="J102">
            <v>3180</v>
          </cell>
          <cell r="K102">
            <v>3148</v>
          </cell>
          <cell r="L102">
            <v>45657</v>
          </cell>
          <cell r="M102">
            <v>32</v>
          </cell>
          <cell r="N102">
            <v>0</v>
          </cell>
          <cell r="O102">
            <v>262.33333333333331</v>
          </cell>
          <cell r="P102">
            <v>153</v>
          </cell>
          <cell r="Q102">
            <v>109.33333333333331</v>
          </cell>
        </row>
        <row r="103">
          <cell r="A103">
            <v>1617</v>
          </cell>
          <cell r="B103" t="str">
            <v>10EMP1617</v>
          </cell>
          <cell r="C103" t="str">
            <v>Mohammed Mubeen Mahmood Ali</v>
          </cell>
          <cell r="D103" t="str">
            <v>Sr. HSE Officer</v>
          </cell>
          <cell r="E103" t="str">
            <v>Staff</v>
          </cell>
          <cell r="F103" t="str">
            <v>Mulk Holdings FZC</v>
          </cell>
          <cell r="G103" t="str">
            <v>MH Shared Services</v>
          </cell>
          <cell r="H103" t="str">
            <v>Health &amp; Safety</v>
          </cell>
          <cell r="I103">
            <v>42519</v>
          </cell>
          <cell r="J103">
            <v>3288</v>
          </cell>
          <cell r="K103">
            <v>3257</v>
          </cell>
          <cell r="L103">
            <v>45807</v>
          </cell>
          <cell r="M103">
            <v>31</v>
          </cell>
          <cell r="N103">
            <v>0</v>
          </cell>
          <cell r="O103">
            <v>271.41666666666669</v>
          </cell>
          <cell r="P103">
            <v>226</v>
          </cell>
          <cell r="Q103">
            <v>45.416666666666686</v>
          </cell>
        </row>
        <row r="104">
          <cell r="A104">
            <v>1642</v>
          </cell>
          <cell r="B104" t="str">
            <v>10EMP1642</v>
          </cell>
          <cell r="C104" t="str">
            <v>Muhammad Farooq Inam Shah</v>
          </cell>
          <cell r="D104" t="str">
            <v>Light Vehicle driver</v>
          </cell>
          <cell r="E104" t="str">
            <v>Support Staff</v>
          </cell>
          <cell r="F104" t="str">
            <v>Mulk Holdings FZC</v>
          </cell>
          <cell r="G104" t="str">
            <v>Eurocon Service Dpt</v>
          </cell>
          <cell r="H104" t="str">
            <v>Transport</v>
          </cell>
          <cell r="I104">
            <v>42631</v>
          </cell>
          <cell r="J104">
            <v>3026</v>
          </cell>
          <cell r="K104">
            <v>2964</v>
          </cell>
          <cell r="L104">
            <v>45657</v>
          </cell>
          <cell r="M104">
            <v>62</v>
          </cell>
          <cell r="N104">
            <v>0</v>
          </cell>
          <cell r="O104">
            <v>246.99999999999997</v>
          </cell>
          <cell r="P104">
            <v>193</v>
          </cell>
          <cell r="Q104">
            <v>53.999999999999972</v>
          </cell>
        </row>
        <row r="105">
          <cell r="A105">
            <v>1648</v>
          </cell>
          <cell r="B105" t="str">
            <v>10EMP1648</v>
          </cell>
          <cell r="C105" t="str">
            <v xml:space="preserve">Arbab Ahmed Khan </v>
          </cell>
          <cell r="D105" t="str">
            <v>CEO</v>
          </cell>
          <cell r="E105" t="str">
            <v>Staff</v>
          </cell>
          <cell r="F105" t="str">
            <v>T Ten Sports Management FZCO</v>
          </cell>
          <cell r="G105" t="str">
            <v>Export Sales</v>
          </cell>
          <cell r="H105" t="str">
            <v>Sales &amp; Marketing</v>
          </cell>
          <cell r="I105">
            <v>42614</v>
          </cell>
          <cell r="J105">
            <v>3043</v>
          </cell>
          <cell r="K105">
            <v>3063</v>
          </cell>
          <cell r="L105">
            <v>45657</v>
          </cell>
          <cell r="M105">
            <v>-21</v>
          </cell>
          <cell r="N105">
            <v>1</v>
          </cell>
          <cell r="O105">
            <v>255.25</v>
          </cell>
          <cell r="P105">
            <v>75</v>
          </cell>
          <cell r="Q105">
            <v>180.25</v>
          </cell>
        </row>
        <row r="106">
          <cell r="A106">
            <v>1654</v>
          </cell>
          <cell r="B106" t="str">
            <v>10EMP1654</v>
          </cell>
          <cell r="C106" t="str">
            <v>Nehal Ahamad Najirullah</v>
          </cell>
          <cell r="D106" t="str">
            <v>Aluminium Fabricator</v>
          </cell>
          <cell r="E106" t="str">
            <v>Worker</v>
          </cell>
          <cell r="F106" t="str">
            <v>Eurocon Building Induastries LLC</v>
          </cell>
          <cell r="G106" t="str">
            <v>Mulk Manufacture &amp; Retail LLC</v>
          </cell>
          <cell r="H106" t="str">
            <v>Mulk Manufacture &amp; Retail LLC</v>
          </cell>
          <cell r="I106">
            <v>42670</v>
          </cell>
          <cell r="J106">
            <v>2987</v>
          </cell>
          <cell r="K106">
            <v>2951</v>
          </cell>
          <cell r="L106">
            <v>45657</v>
          </cell>
          <cell r="M106">
            <v>11</v>
          </cell>
          <cell r="N106">
            <v>25</v>
          </cell>
          <cell r="O106">
            <v>245.91666666666669</v>
          </cell>
          <cell r="P106">
            <v>168</v>
          </cell>
          <cell r="Q106">
            <v>77.916666666666686</v>
          </cell>
        </row>
        <row r="107">
          <cell r="A107">
            <v>1693</v>
          </cell>
          <cell r="B107" t="str">
            <v>10EMP1693</v>
          </cell>
          <cell r="C107" t="str">
            <v>Shaik Rasheed Ahmed</v>
          </cell>
          <cell r="D107" t="str">
            <v>Site Engineer</v>
          </cell>
          <cell r="E107" t="str">
            <v>Staff</v>
          </cell>
          <cell r="F107" t="str">
            <v>ZCC</v>
          </cell>
          <cell r="G107" t="str">
            <v>ZCC</v>
          </cell>
          <cell r="H107" t="str">
            <v>ZCC</v>
          </cell>
          <cell r="I107">
            <v>42694</v>
          </cell>
          <cell r="J107">
            <v>2963</v>
          </cell>
          <cell r="K107">
            <v>2950</v>
          </cell>
          <cell r="L107">
            <v>45657</v>
          </cell>
          <cell r="M107">
            <v>13</v>
          </cell>
          <cell r="N107">
            <v>0</v>
          </cell>
          <cell r="O107">
            <v>245.83333333333334</v>
          </cell>
          <cell r="P107">
            <v>147</v>
          </cell>
          <cell r="Q107">
            <v>98.833333333333343</v>
          </cell>
        </row>
        <row r="108">
          <cell r="A108">
            <v>1699</v>
          </cell>
          <cell r="B108" t="str">
            <v>10EMP1699</v>
          </cell>
          <cell r="C108" t="str">
            <v>Rejanesh Kumar Raghavan</v>
          </cell>
          <cell r="D108" t="str">
            <v>CNC Programmer cum Operator</v>
          </cell>
          <cell r="E108" t="str">
            <v>Support Staff</v>
          </cell>
          <cell r="F108" t="str">
            <v>Eurocon Building Induastries LLC</v>
          </cell>
          <cell r="G108" t="str">
            <v>Mulk Manufacture &amp; Retail LLC</v>
          </cell>
          <cell r="H108" t="str">
            <v>Mulk Manufacture &amp; Retail LLC</v>
          </cell>
          <cell r="I108">
            <v>42698</v>
          </cell>
          <cell r="J108">
            <v>2959</v>
          </cell>
          <cell r="K108">
            <v>2933</v>
          </cell>
          <cell r="L108">
            <v>45657</v>
          </cell>
          <cell r="M108">
            <v>14</v>
          </cell>
          <cell r="N108">
            <v>12</v>
          </cell>
          <cell r="O108">
            <v>244.41666666666666</v>
          </cell>
          <cell r="P108">
            <v>137</v>
          </cell>
          <cell r="Q108">
            <v>107.41666666666666</v>
          </cell>
        </row>
        <row r="109">
          <cell r="A109">
            <v>1708</v>
          </cell>
          <cell r="B109" t="str">
            <v>10EMP1708</v>
          </cell>
          <cell r="C109" t="str">
            <v>Nakul Terasi</v>
          </cell>
          <cell r="D109" t="str">
            <v>Helper</v>
          </cell>
          <cell r="E109" t="str">
            <v>Worker</v>
          </cell>
          <cell r="F109" t="str">
            <v>Mulk Holdings FZC</v>
          </cell>
          <cell r="G109" t="str">
            <v>Metalplast</v>
          </cell>
          <cell r="H109" t="str">
            <v>Metal Plast  - A2 Core Production</v>
          </cell>
          <cell r="I109">
            <v>42716</v>
          </cell>
          <cell r="J109">
            <v>2941</v>
          </cell>
          <cell r="K109">
            <v>2926</v>
          </cell>
          <cell r="L109">
            <v>45657</v>
          </cell>
          <cell r="M109">
            <v>15</v>
          </cell>
          <cell r="N109">
            <v>0</v>
          </cell>
          <cell r="O109">
            <v>243.83333333333334</v>
          </cell>
          <cell r="P109">
            <v>181</v>
          </cell>
          <cell r="Q109">
            <v>62.833333333333343</v>
          </cell>
        </row>
        <row r="110">
          <cell r="A110">
            <v>1730</v>
          </cell>
          <cell r="B110" t="str">
            <v>10EMP1730</v>
          </cell>
          <cell r="C110" t="str">
            <v>Wenjing Zhang</v>
          </cell>
          <cell r="D110" t="str">
            <v>Sourcing &amp; Quality Coordinator</v>
          </cell>
          <cell r="E110" t="str">
            <v>Staff</v>
          </cell>
          <cell r="F110" t="str">
            <v>Sponsored/Own/Visit/No Visa</v>
          </cell>
          <cell r="G110" t="str">
            <v>Supply Chain (Eurocon)</v>
          </cell>
          <cell r="H110" t="str">
            <v>Supply Chain Eurocon China</v>
          </cell>
          <cell r="I110">
            <v>42767</v>
          </cell>
          <cell r="J110">
            <v>2890</v>
          </cell>
          <cell r="K110">
            <v>2890</v>
          </cell>
          <cell r="L110">
            <v>45657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>
            <v>1761</v>
          </cell>
          <cell r="B111" t="str">
            <v>10EMP1761</v>
          </cell>
          <cell r="C111" t="str">
            <v>Syed Mushtaq Ahamad Syed Mukhtar Ahmed</v>
          </cell>
          <cell r="D111" t="str">
            <v>Production Manager</v>
          </cell>
          <cell r="E111" t="str">
            <v>Staff</v>
          </cell>
          <cell r="F111" t="str">
            <v>Eurocon Building Induastries LLC</v>
          </cell>
          <cell r="G111" t="str">
            <v>Mulk Manufacture &amp; Retail LLC</v>
          </cell>
          <cell r="H111" t="str">
            <v>Mulk Manufacture &amp; Retail LLC</v>
          </cell>
          <cell r="I111">
            <v>42861</v>
          </cell>
          <cell r="J111">
            <v>2796</v>
          </cell>
          <cell r="K111">
            <v>2796</v>
          </cell>
          <cell r="L111">
            <v>45657</v>
          </cell>
          <cell r="M111">
            <v>0</v>
          </cell>
          <cell r="N111">
            <v>0</v>
          </cell>
          <cell r="O111">
            <v>233</v>
          </cell>
          <cell r="P111">
            <v>52</v>
          </cell>
          <cell r="Q111">
            <v>181</v>
          </cell>
        </row>
        <row r="112">
          <cell r="A112">
            <v>1801</v>
          </cell>
          <cell r="B112" t="str">
            <v>10EMP1801</v>
          </cell>
          <cell r="C112" t="str">
            <v>Amer Khan Mohammed</v>
          </cell>
          <cell r="D112" t="str">
            <v>Fitter</v>
          </cell>
          <cell r="E112" t="str">
            <v>Worker</v>
          </cell>
          <cell r="F112" t="str">
            <v>Eurocon Building Induastries LLC</v>
          </cell>
          <cell r="G112" t="str">
            <v>Mulk Manufacture &amp; Retail LLC</v>
          </cell>
          <cell r="H112" t="str">
            <v>Mulk Manufacture &amp; Retail LLC</v>
          </cell>
          <cell r="I112">
            <v>42891</v>
          </cell>
          <cell r="J112">
            <v>2766</v>
          </cell>
          <cell r="K112">
            <v>2426</v>
          </cell>
          <cell r="L112">
            <v>45657</v>
          </cell>
          <cell r="M112">
            <v>340</v>
          </cell>
          <cell r="N112">
            <v>0</v>
          </cell>
          <cell r="O112">
            <v>202.16666666666666</v>
          </cell>
          <cell r="P112">
            <v>138</v>
          </cell>
          <cell r="Q112">
            <v>64.166666666666657</v>
          </cell>
        </row>
        <row r="113">
          <cell r="A113">
            <v>1806</v>
          </cell>
          <cell r="B113" t="str">
            <v>10EMP1806</v>
          </cell>
          <cell r="C113" t="str">
            <v>Saroj Kumar Mukhram</v>
          </cell>
          <cell r="D113" t="str">
            <v>Helper</v>
          </cell>
          <cell r="E113" t="str">
            <v>Worker</v>
          </cell>
          <cell r="F113" t="str">
            <v>Metalplast Industries FZE</v>
          </cell>
          <cell r="G113" t="str">
            <v>Metalplast</v>
          </cell>
          <cell r="H113" t="str">
            <v>Metal Plast  - A2 Core Production</v>
          </cell>
          <cell r="I113">
            <v>42919</v>
          </cell>
          <cell r="J113">
            <v>2738</v>
          </cell>
          <cell r="K113">
            <v>2591</v>
          </cell>
          <cell r="L113">
            <v>45657</v>
          </cell>
          <cell r="M113">
            <v>147</v>
          </cell>
          <cell r="N113">
            <v>0</v>
          </cell>
          <cell r="O113">
            <v>215.91666666666666</v>
          </cell>
          <cell r="P113">
            <v>257</v>
          </cell>
          <cell r="Q113">
            <v>-41.083333333333343</v>
          </cell>
        </row>
        <row r="114">
          <cell r="A114">
            <v>1856</v>
          </cell>
          <cell r="B114" t="str">
            <v>10EMP1856</v>
          </cell>
          <cell r="C114" t="str">
            <v>Kumar Gautam Kamal Kishore Prasad</v>
          </cell>
          <cell r="D114" t="str">
            <v>Assistant Operation Manager -  Metalplast Hamariyah Operation ( A2 Core, Adhesive Film &amp; Scrap Processing)</v>
          </cell>
          <cell r="E114" t="str">
            <v>Staff</v>
          </cell>
          <cell r="F114" t="str">
            <v>Alubond Middle East FZC</v>
          </cell>
          <cell r="G114" t="str">
            <v>Metalplast</v>
          </cell>
          <cell r="H114" t="str">
            <v>Metal Plast  - A2 Core Production</v>
          </cell>
          <cell r="I114">
            <v>43009</v>
          </cell>
          <cell r="J114">
            <v>2648</v>
          </cell>
          <cell r="K114">
            <v>2581</v>
          </cell>
          <cell r="L114">
            <v>45657</v>
          </cell>
          <cell r="M114">
            <v>45</v>
          </cell>
          <cell r="N114">
            <v>22</v>
          </cell>
          <cell r="O114">
            <v>215.08333333333331</v>
          </cell>
          <cell r="P114">
            <v>194</v>
          </cell>
          <cell r="Q114">
            <v>21.083333333333314</v>
          </cell>
        </row>
        <row r="115">
          <cell r="A115">
            <v>1867</v>
          </cell>
          <cell r="B115" t="str">
            <v>10EMP1867</v>
          </cell>
          <cell r="C115" t="str">
            <v>Hassan Bilal Abdul Sattar</v>
          </cell>
          <cell r="D115" t="str">
            <v>Helper</v>
          </cell>
          <cell r="E115" t="str">
            <v>Worker</v>
          </cell>
          <cell r="F115" t="str">
            <v>Alubond Middle East FZC</v>
          </cell>
          <cell r="G115" t="str">
            <v>Metalplast</v>
          </cell>
          <cell r="H115" t="str">
            <v>Metal Plast  - A2 Core Production</v>
          </cell>
          <cell r="I115">
            <v>43023</v>
          </cell>
          <cell r="J115">
            <v>2634</v>
          </cell>
          <cell r="K115">
            <v>2119</v>
          </cell>
          <cell r="L115">
            <v>45657</v>
          </cell>
          <cell r="M115">
            <v>445</v>
          </cell>
          <cell r="N115">
            <v>70</v>
          </cell>
          <cell r="O115">
            <v>176.58333333333334</v>
          </cell>
          <cell r="P115">
            <v>210</v>
          </cell>
          <cell r="Q115">
            <v>-33.416666666666657</v>
          </cell>
        </row>
        <row r="116">
          <cell r="A116">
            <v>1884</v>
          </cell>
          <cell r="B116" t="str">
            <v>10EMP1884</v>
          </cell>
          <cell r="C116" t="str">
            <v>Akhin Varghese</v>
          </cell>
          <cell r="D116" t="str">
            <v>Data Entry Operator - Warehouse</v>
          </cell>
          <cell r="E116" t="str">
            <v>Staff</v>
          </cell>
          <cell r="F116" t="str">
            <v>Coordinator</v>
          </cell>
          <cell r="G116" t="str">
            <v>Alubond Middle East FZC</v>
          </cell>
          <cell r="H116" t="str">
            <v>ACP</v>
          </cell>
          <cell r="I116">
            <v>43026</v>
          </cell>
          <cell r="J116">
            <v>2631</v>
          </cell>
          <cell r="K116">
            <v>2600</v>
          </cell>
          <cell r="L116">
            <v>45657</v>
          </cell>
          <cell r="M116">
            <v>27</v>
          </cell>
          <cell r="N116">
            <v>4</v>
          </cell>
          <cell r="O116">
            <v>216.66666666666666</v>
          </cell>
          <cell r="P116">
            <v>182</v>
          </cell>
          <cell r="Q116">
            <v>34.666666666666657</v>
          </cell>
        </row>
        <row r="117">
          <cell r="A117">
            <v>1901</v>
          </cell>
          <cell r="B117" t="str">
            <v>10EMP1901</v>
          </cell>
          <cell r="C117" t="str">
            <v xml:space="preserve">Sadre Alam </v>
          </cell>
          <cell r="D117" t="str">
            <v>Helper</v>
          </cell>
          <cell r="E117" t="str">
            <v>Worker</v>
          </cell>
          <cell r="F117" t="str">
            <v>Alubond Middle East FZC</v>
          </cell>
          <cell r="G117" t="str">
            <v>Metalplast</v>
          </cell>
          <cell r="H117" t="str">
            <v>Metal Plast  - A2 Core Production</v>
          </cell>
          <cell r="I117">
            <v>43034</v>
          </cell>
          <cell r="J117">
            <v>2623</v>
          </cell>
          <cell r="K117">
            <v>2569</v>
          </cell>
          <cell r="L117">
            <v>45657</v>
          </cell>
          <cell r="M117">
            <v>54</v>
          </cell>
          <cell r="N117">
            <v>0</v>
          </cell>
          <cell r="O117">
            <v>214.08333333333334</v>
          </cell>
          <cell r="P117">
            <v>180</v>
          </cell>
          <cell r="Q117">
            <v>34.083333333333343</v>
          </cell>
        </row>
        <row r="118">
          <cell r="A118">
            <v>1944</v>
          </cell>
          <cell r="B118" t="str">
            <v>10EMP1944</v>
          </cell>
          <cell r="C118" t="str">
            <v>Kamlesh Kumar Chaudhary</v>
          </cell>
          <cell r="D118" t="str">
            <v>Fabricator</v>
          </cell>
          <cell r="E118" t="str">
            <v>Worker</v>
          </cell>
          <cell r="F118" t="str">
            <v>Eurocon Building Induastries LLC</v>
          </cell>
          <cell r="G118" t="str">
            <v>Mulk Manufacture &amp; Retail LLC</v>
          </cell>
          <cell r="H118" t="str">
            <v>Mulk Manufacture &amp; Retail LLC</v>
          </cell>
          <cell r="I118">
            <v>43046</v>
          </cell>
          <cell r="J118">
            <v>2611</v>
          </cell>
          <cell r="K118">
            <v>2519</v>
          </cell>
          <cell r="L118">
            <v>45657</v>
          </cell>
          <cell r="M118">
            <v>12</v>
          </cell>
          <cell r="N118">
            <v>80</v>
          </cell>
          <cell r="O118">
            <v>209.91666666666666</v>
          </cell>
          <cell r="P118">
            <v>60</v>
          </cell>
          <cell r="Q118">
            <v>149.91666666666666</v>
          </cell>
        </row>
        <row r="119">
          <cell r="A119">
            <v>2014</v>
          </cell>
          <cell r="B119" t="str">
            <v>10EMP2014</v>
          </cell>
          <cell r="C119" t="str">
            <v>Bacha Rashid Fazal Wahid</v>
          </cell>
          <cell r="D119" t="str">
            <v>Carpenter</v>
          </cell>
          <cell r="E119" t="str">
            <v>Worker</v>
          </cell>
          <cell r="F119" t="str">
            <v>Alubond Middle East FZC</v>
          </cell>
          <cell r="G119" t="str">
            <v>Supply Chain (Eurocon)</v>
          </cell>
          <cell r="H119" t="str">
            <v>Supply Chain - Warehouse</v>
          </cell>
          <cell r="I119">
            <v>43093</v>
          </cell>
          <cell r="J119">
            <v>2564</v>
          </cell>
          <cell r="K119">
            <v>2152</v>
          </cell>
          <cell r="L119">
            <v>45657</v>
          </cell>
          <cell r="M119">
            <v>412</v>
          </cell>
          <cell r="N119">
            <v>0</v>
          </cell>
          <cell r="O119">
            <v>179.33333333333334</v>
          </cell>
          <cell r="P119">
            <v>153</v>
          </cell>
          <cell r="Q119">
            <v>26.333333333333343</v>
          </cell>
        </row>
        <row r="120">
          <cell r="A120">
            <v>2027</v>
          </cell>
          <cell r="B120" t="str">
            <v>10EMP2027</v>
          </cell>
          <cell r="C120" t="str">
            <v>Rahumathulla Mohamed Naseer</v>
          </cell>
          <cell r="D120" t="str">
            <v>Quality Controller</v>
          </cell>
          <cell r="E120" t="str">
            <v>Staff</v>
          </cell>
          <cell r="F120" t="str">
            <v>Alubond Middle East FZC</v>
          </cell>
          <cell r="G120" t="str">
            <v>Metalplast</v>
          </cell>
          <cell r="H120" t="str">
            <v>Metal Plast  - A2 Core Production</v>
          </cell>
          <cell r="I120">
            <v>43094</v>
          </cell>
          <cell r="J120">
            <v>2563</v>
          </cell>
          <cell r="K120">
            <v>2538</v>
          </cell>
          <cell r="L120">
            <v>45657</v>
          </cell>
          <cell r="M120">
            <v>25</v>
          </cell>
          <cell r="N120">
            <v>0</v>
          </cell>
          <cell r="O120">
            <v>211.5</v>
          </cell>
          <cell r="P120">
            <v>176</v>
          </cell>
          <cell r="Q120">
            <v>35.5</v>
          </cell>
        </row>
        <row r="121">
          <cell r="A121">
            <v>2078</v>
          </cell>
          <cell r="B121" t="str">
            <v>10EMP2078</v>
          </cell>
          <cell r="C121" t="str">
            <v>Jabeena Ponmanichi Baboo</v>
          </cell>
          <cell r="D121" t="str">
            <v>Accounts Manager</v>
          </cell>
          <cell r="E121" t="str">
            <v>Staff</v>
          </cell>
          <cell r="F121" t="str">
            <v>Alubond Middle East FZC</v>
          </cell>
          <cell r="G121" t="str">
            <v>MH Shared Services</v>
          </cell>
          <cell r="H121" t="str">
            <v>Finance &amp; Accounts</v>
          </cell>
          <cell r="I121">
            <v>43140</v>
          </cell>
          <cell r="J121">
            <v>2517</v>
          </cell>
          <cell r="K121">
            <v>2507</v>
          </cell>
          <cell r="L121">
            <v>45657</v>
          </cell>
          <cell r="M121">
            <v>10</v>
          </cell>
          <cell r="N121">
            <v>0</v>
          </cell>
          <cell r="O121">
            <v>208.91666666666666</v>
          </cell>
          <cell r="P121">
            <v>83</v>
          </cell>
          <cell r="Q121">
            <v>125.91666666666666</v>
          </cell>
        </row>
        <row r="122">
          <cell r="A122">
            <v>2120</v>
          </cell>
          <cell r="B122" t="str">
            <v>10EMP2120</v>
          </cell>
          <cell r="C122" t="str">
            <v>Siraj Ahmad</v>
          </cell>
          <cell r="D122" t="str">
            <v>Operator</v>
          </cell>
          <cell r="E122" t="str">
            <v>Worker</v>
          </cell>
          <cell r="F122" t="str">
            <v>Alubond Middle East FZC</v>
          </cell>
          <cell r="G122" t="str">
            <v>Spectrum</v>
          </cell>
          <cell r="H122" t="str">
            <v>Spectrum</v>
          </cell>
          <cell r="I122">
            <v>43206</v>
          </cell>
          <cell r="J122">
            <v>2451</v>
          </cell>
          <cell r="K122">
            <v>2440</v>
          </cell>
          <cell r="L122">
            <v>45657</v>
          </cell>
          <cell r="M122">
            <v>11</v>
          </cell>
          <cell r="N122">
            <v>0</v>
          </cell>
          <cell r="O122">
            <v>203.33333333333334</v>
          </cell>
          <cell r="P122">
            <v>181</v>
          </cell>
          <cell r="Q122">
            <v>22.333333333333343</v>
          </cell>
        </row>
        <row r="123">
          <cell r="A123">
            <v>2135</v>
          </cell>
          <cell r="B123" t="str">
            <v>10EMP2135</v>
          </cell>
          <cell r="C123" t="str">
            <v>Pramod Yadav</v>
          </cell>
          <cell r="D123" t="str">
            <v>Shuttering Carpenter</v>
          </cell>
          <cell r="E123" t="str">
            <v>Worker</v>
          </cell>
          <cell r="F123" t="str">
            <v>Eurocon Building Induastries LLC</v>
          </cell>
          <cell r="G123" t="str">
            <v>Mulk Manufacture &amp; Retail LLC</v>
          </cell>
          <cell r="H123" t="str">
            <v>Rich Reit Projects</v>
          </cell>
          <cell r="I123">
            <v>44049</v>
          </cell>
          <cell r="J123">
            <v>1608</v>
          </cell>
          <cell r="K123">
            <v>1559</v>
          </cell>
          <cell r="L123">
            <v>45657</v>
          </cell>
          <cell r="M123">
            <v>49</v>
          </cell>
          <cell r="N123">
            <v>0</v>
          </cell>
          <cell r="O123">
            <v>129.91666666666669</v>
          </cell>
          <cell r="P123">
            <v>122</v>
          </cell>
          <cell r="Q123">
            <v>7.9166666666666856</v>
          </cell>
        </row>
        <row r="124">
          <cell r="A124">
            <v>2173</v>
          </cell>
          <cell r="B124" t="str">
            <v>10EMP2173</v>
          </cell>
          <cell r="C124" t="str">
            <v>Mahesh Babu</v>
          </cell>
          <cell r="D124" t="str">
            <v>Shift Supervisor</v>
          </cell>
          <cell r="E124" t="str">
            <v>Support Staff</v>
          </cell>
          <cell r="F124" t="str">
            <v>Alubond Middle East FZC</v>
          </cell>
          <cell r="G124" t="str">
            <v>Metalplast</v>
          </cell>
          <cell r="H124" t="str">
            <v>Metal Plast  - A2 Core Production</v>
          </cell>
          <cell r="I124">
            <v>43241</v>
          </cell>
          <cell r="J124">
            <v>2416</v>
          </cell>
          <cell r="K124">
            <v>2389</v>
          </cell>
          <cell r="L124">
            <v>45657</v>
          </cell>
          <cell r="M124">
            <v>27</v>
          </cell>
          <cell r="N124">
            <v>0</v>
          </cell>
          <cell r="O124">
            <v>199.08333333333334</v>
          </cell>
          <cell r="P124">
            <v>143</v>
          </cell>
          <cell r="Q124">
            <v>56.083333333333343</v>
          </cell>
        </row>
        <row r="125">
          <cell r="A125">
            <v>2228</v>
          </cell>
          <cell r="B125" t="str">
            <v>10EMP2228</v>
          </cell>
          <cell r="C125" t="str">
            <v xml:space="preserve">Mohammad Jawed </v>
          </cell>
          <cell r="D125" t="str">
            <v>Security Guard</v>
          </cell>
          <cell r="E125" t="str">
            <v>Support Staff</v>
          </cell>
          <cell r="F125" t="str">
            <v>Metalplast Industries FZE</v>
          </cell>
          <cell r="G125" t="str">
            <v>Eurocon Service Dpt</v>
          </cell>
          <cell r="H125" t="str">
            <v>Camp Security</v>
          </cell>
          <cell r="I125">
            <v>43304</v>
          </cell>
          <cell r="J125">
            <v>2353</v>
          </cell>
          <cell r="K125">
            <v>2348</v>
          </cell>
          <cell r="L125">
            <v>45657</v>
          </cell>
          <cell r="M125">
            <v>5</v>
          </cell>
          <cell r="N125">
            <v>0</v>
          </cell>
          <cell r="O125">
            <v>195.66666666666666</v>
          </cell>
          <cell r="P125">
            <v>180</v>
          </cell>
          <cell r="Q125">
            <v>15.666666666666657</v>
          </cell>
        </row>
        <row r="126">
          <cell r="A126">
            <v>2231</v>
          </cell>
          <cell r="B126" t="str">
            <v>10EMP2231</v>
          </cell>
          <cell r="C126" t="str">
            <v xml:space="preserve">Mohanad Tarek Ghziel </v>
          </cell>
          <cell r="D126" t="str">
            <v>Debt Collector</v>
          </cell>
          <cell r="E126" t="str">
            <v>Staff</v>
          </cell>
          <cell r="F126" t="str">
            <v>Alubond Middle East FZC</v>
          </cell>
          <cell r="G126" t="str">
            <v>Sales &amp; Marketing</v>
          </cell>
          <cell r="H126" t="str">
            <v>Sales &amp; Marketing</v>
          </cell>
          <cell r="I126">
            <v>43313</v>
          </cell>
          <cell r="J126">
            <v>2344</v>
          </cell>
          <cell r="K126">
            <v>2342</v>
          </cell>
          <cell r="L126">
            <v>45657</v>
          </cell>
          <cell r="M126">
            <v>2</v>
          </cell>
          <cell r="N126">
            <v>0</v>
          </cell>
          <cell r="O126">
            <v>195.16666666666666</v>
          </cell>
          <cell r="P126">
            <v>130</v>
          </cell>
          <cell r="Q126">
            <v>65.166666666666657</v>
          </cell>
        </row>
        <row r="127">
          <cell r="A127">
            <v>2240</v>
          </cell>
          <cell r="B127" t="str">
            <v>10EMP2240</v>
          </cell>
          <cell r="C127" t="str">
            <v>Rifas Ansary Mohammed</v>
          </cell>
          <cell r="D127" t="str">
            <v>Accounts Assistant</v>
          </cell>
          <cell r="E127" t="str">
            <v>Staff</v>
          </cell>
          <cell r="F127" t="str">
            <v>Mulk Holdings FZC</v>
          </cell>
          <cell r="G127" t="str">
            <v>MH Shared Services</v>
          </cell>
          <cell r="H127" t="str">
            <v>Finance &amp; Accounts</v>
          </cell>
          <cell r="I127">
            <v>43312</v>
          </cell>
          <cell r="J127">
            <v>2345</v>
          </cell>
          <cell r="K127">
            <v>2223</v>
          </cell>
          <cell r="L127">
            <v>45657</v>
          </cell>
          <cell r="M127">
            <v>122</v>
          </cell>
          <cell r="N127">
            <v>0</v>
          </cell>
          <cell r="O127">
            <v>185.25</v>
          </cell>
          <cell r="P127">
            <v>127</v>
          </cell>
          <cell r="Q127">
            <v>58.25</v>
          </cell>
        </row>
        <row r="128">
          <cell r="A128">
            <v>2243</v>
          </cell>
          <cell r="B128" t="str">
            <v>10EMP2243</v>
          </cell>
          <cell r="C128" t="str">
            <v>Damburu Epili</v>
          </cell>
          <cell r="D128" t="str">
            <v>Helper</v>
          </cell>
          <cell r="E128" t="str">
            <v>Worker</v>
          </cell>
          <cell r="F128" t="str">
            <v>Alubond Middle East FZC</v>
          </cell>
          <cell r="G128" t="str">
            <v>ACP</v>
          </cell>
          <cell r="H128" t="str">
            <v>Production (ACP)</v>
          </cell>
          <cell r="I128">
            <v>43319</v>
          </cell>
          <cell r="J128">
            <v>2338</v>
          </cell>
          <cell r="K128">
            <v>2263</v>
          </cell>
          <cell r="L128">
            <v>45657</v>
          </cell>
          <cell r="M128">
            <v>75</v>
          </cell>
          <cell r="N128">
            <v>0</v>
          </cell>
          <cell r="O128">
            <v>188.58333333333334</v>
          </cell>
          <cell r="P128">
            <v>182</v>
          </cell>
          <cell r="Q128">
            <v>6.5833333333333428</v>
          </cell>
        </row>
        <row r="129">
          <cell r="A129">
            <v>2247</v>
          </cell>
          <cell r="B129" t="str">
            <v>10EMP2247</v>
          </cell>
          <cell r="C129" t="str">
            <v>Ajaya Kumar</v>
          </cell>
          <cell r="D129" t="str">
            <v>Mason</v>
          </cell>
          <cell r="E129" t="str">
            <v>Worker</v>
          </cell>
          <cell r="F129" t="str">
            <v>Alubond Middle East FZC</v>
          </cell>
          <cell r="G129" t="str">
            <v>CCL</v>
          </cell>
          <cell r="H129" t="str">
            <v>Production (CCL)</v>
          </cell>
          <cell r="I129">
            <v>43326</v>
          </cell>
          <cell r="J129">
            <v>2331</v>
          </cell>
          <cell r="K129">
            <v>2218</v>
          </cell>
          <cell r="L129">
            <v>45657</v>
          </cell>
          <cell r="M129">
            <v>113</v>
          </cell>
          <cell r="N129">
            <v>0</v>
          </cell>
          <cell r="O129">
            <v>184.83333333333334</v>
          </cell>
          <cell r="P129">
            <v>120</v>
          </cell>
          <cell r="Q129">
            <v>64.833333333333343</v>
          </cell>
        </row>
        <row r="130">
          <cell r="A130">
            <v>2286</v>
          </cell>
          <cell r="B130" t="str">
            <v>10EMP2286</v>
          </cell>
          <cell r="C130" t="str">
            <v>Aqil Javed</v>
          </cell>
          <cell r="D130" t="str">
            <v>Industrial Electrician</v>
          </cell>
          <cell r="E130" t="str">
            <v>Worker</v>
          </cell>
          <cell r="F130" t="str">
            <v>Metalplast Industries FZE</v>
          </cell>
          <cell r="G130" t="str">
            <v>Metalplast</v>
          </cell>
          <cell r="H130" t="str">
            <v>Metalplast Maintenance</v>
          </cell>
          <cell r="I130">
            <v>43479</v>
          </cell>
          <cell r="J130">
            <v>2178</v>
          </cell>
          <cell r="K130">
            <v>2074</v>
          </cell>
          <cell r="L130">
            <v>45657</v>
          </cell>
          <cell r="M130">
            <v>104</v>
          </cell>
          <cell r="N130">
            <v>0</v>
          </cell>
          <cell r="O130">
            <v>172.83333333333334</v>
          </cell>
          <cell r="P130">
            <v>181</v>
          </cell>
          <cell r="Q130">
            <v>-8.1666666666666572</v>
          </cell>
        </row>
        <row r="131">
          <cell r="A131">
            <v>2314</v>
          </cell>
          <cell r="B131" t="str">
            <v>10EMP2314</v>
          </cell>
          <cell r="C131" t="str">
            <v>Vinod Sohan</v>
          </cell>
          <cell r="D131" t="str">
            <v>Helper</v>
          </cell>
          <cell r="E131" t="str">
            <v>Worker</v>
          </cell>
          <cell r="F131" t="str">
            <v>Alubond Middle East FZC</v>
          </cell>
          <cell r="G131" t="str">
            <v>Metalplast</v>
          </cell>
          <cell r="H131" t="str">
            <v>Metal Plast  - A2 Core Production</v>
          </cell>
          <cell r="I131">
            <v>43752</v>
          </cell>
          <cell r="J131">
            <v>1905</v>
          </cell>
          <cell r="K131">
            <v>1886</v>
          </cell>
          <cell r="L131">
            <v>45657</v>
          </cell>
          <cell r="M131">
            <v>19</v>
          </cell>
          <cell r="N131">
            <v>0</v>
          </cell>
          <cell r="O131">
            <v>157.16666666666666</v>
          </cell>
          <cell r="P131">
            <v>122</v>
          </cell>
          <cell r="Q131">
            <v>35.166666666666657</v>
          </cell>
        </row>
        <row r="132">
          <cell r="A132">
            <v>2315</v>
          </cell>
          <cell r="B132" t="str">
            <v>10EMP2315</v>
          </cell>
          <cell r="C132" t="str">
            <v>Mandresh  Khedan</v>
          </cell>
          <cell r="D132" t="str">
            <v>Helper</v>
          </cell>
          <cell r="E132" t="str">
            <v>Worker</v>
          </cell>
          <cell r="F132" t="str">
            <v>Alubond Middle East FZC</v>
          </cell>
          <cell r="G132" t="str">
            <v>Metalplast</v>
          </cell>
          <cell r="H132" t="str">
            <v>Metal Plast  - A2 Core Production</v>
          </cell>
          <cell r="I132">
            <v>43752</v>
          </cell>
          <cell r="J132">
            <v>1905</v>
          </cell>
          <cell r="K132">
            <v>1890</v>
          </cell>
          <cell r="L132">
            <v>45657</v>
          </cell>
          <cell r="M132">
            <v>15</v>
          </cell>
          <cell r="N132">
            <v>0</v>
          </cell>
          <cell r="O132">
            <v>157.5</v>
          </cell>
          <cell r="P132">
            <v>60</v>
          </cell>
          <cell r="Q132">
            <v>97.5</v>
          </cell>
        </row>
        <row r="133">
          <cell r="A133">
            <v>2317</v>
          </cell>
          <cell r="B133" t="str">
            <v>10EMP2317</v>
          </cell>
          <cell r="C133" t="str">
            <v>Adbul Rauf</v>
          </cell>
          <cell r="D133" t="str">
            <v>Helper</v>
          </cell>
          <cell r="E133" t="str">
            <v>Worker</v>
          </cell>
          <cell r="F133" t="str">
            <v>Alubond Middle East FZC</v>
          </cell>
          <cell r="G133" t="str">
            <v>Metalplast</v>
          </cell>
          <cell r="H133" t="str">
            <v>Metal Plast  - A2 Core Production</v>
          </cell>
          <cell r="I133">
            <v>43754</v>
          </cell>
          <cell r="J133">
            <v>1903</v>
          </cell>
          <cell r="K133">
            <v>1881</v>
          </cell>
          <cell r="L133">
            <v>45657</v>
          </cell>
          <cell r="M133">
            <v>22</v>
          </cell>
          <cell r="N133">
            <v>0</v>
          </cell>
          <cell r="O133">
            <v>156.75</v>
          </cell>
          <cell r="P133">
            <v>120</v>
          </cell>
          <cell r="Q133">
            <v>36.75</v>
          </cell>
        </row>
        <row r="134">
          <cell r="A134">
            <v>2318</v>
          </cell>
          <cell r="B134" t="str">
            <v>10EMP2318</v>
          </cell>
          <cell r="C134" t="str">
            <v>Salim Akhter Khan</v>
          </cell>
          <cell r="D134" t="str">
            <v>Electrician</v>
          </cell>
          <cell r="E134" t="str">
            <v>Worker</v>
          </cell>
          <cell r="F134" t="str">
            <v>Metalplast Industries FZE</v>
          </cell>
          <cell r="G134" t="str">
            <v>Metalplast</v>
          </cell>
          <cell r="H134" t="str">
            <v>Metal Plast  - A2 Core Production</v>
          </cell>
          <cell r="I134">
            <v>43770</v>
          </cell>
          <cell r="J134">
            <v>1887</v>
          </cell>
          <cell r="K134">
            <v>1882</v>
          </cell>
          <cell r="L134">
            <v>45657</v>
          </cell>
          <cell r="M134">
            <v>5</v>
          </cell>
          <cell r="N134">
            <v>0</v>
          </cell>
          <cell r="O134">
            <v>156.83333333333334</v>
          </cell>
          <cell r="P134">
            <v>180</v>
          </cell>
          <cell r="Q134">
            <v>-23.166666666666657</v>
          </cell>
        </row>
        <row r="135">
          <cell r="A135">
            <v>2329</v>
          </cell>
          <cell r="B135" t="str">
            <v>10EMP2329</v>
          </cell>
          <cell r="C135" t="str">
            <v>Ahmed Ashraf Shaban Elsayed Ahmed</v>
          </cell>
          <cell r="D135" t="str">
            <v>Sales Executive</v>
          </cell>
          <cell r="E135" t="str">
            <v>Staff</v>
          </cell>
          <cell r="F135" t="str">
            <v>Sponsored/Own/Visit/No Visa</v>
          </cell>
          <cell r="G135" t="str">
            <v>Export Sales</v>
          </cell>
          <cell r="H135" t="str">
            <v>Sales &amp; Marketing -KSA</v>
          </cell>
          <cell r="I135">
            <v>43792</v>
          </cell>
          <cell r="J135">
            <v>1865</v>
          </cell>
          <cell r="K135">
            <v>1842</v>
          </cell>
          <cell r="L135">
            <v>45657</v>
          </cell>
          <cell r="M135">
            <v>23</v>
          </cell>
          <cell r="N135">
            <v>0</v>
          </cell>
          <cell r="O135">
            <v>153.5</v>
          </cell>
          <cell r="P135">
            <v>69</v>
          </cell>
          <cell r="Q135">
            <v>84.5</v>
          </cell>
        </row>
        <row r="136">
          <cell r="A136">
            <v>2330</v>
          </cell>
          <cell r="B136" t="str">
            <v>10EMP2330</v>
          </cell>
          <cell r="C136" t="str">
            <v>Amritlal Ramanand</v>
          </cell>
          <cell r="D136" t="str">
            <v>Helper</v>
          </cell>
          <cell r="E136" t="str">
            <v>Worker</v>
          </cell>
          <cell r="F136" t="str">
            <v>Alubond Middle East FZC</v>
          </cell>
          <cell r="G136" t="str">
            <v>Metalplast</v>
          </cell>
          <cell r="H136" t="str">
            <v>Metal Plast  - A2 Core Production</v>
          </cell>
          <cell r="I136">
            <v>43843</v>
          </cell>
          <cell r="J136">
            <v>1814</v>
          </cell>
          <cell r="K136">
            <v>1800</v>
          </cell>
          <cell r="L136">
            <v>45657</v>
          </cell>
          <cell r="M136">
            <v>14</v>
          </cell>
          <cell r="N136">
            <v>0</v>
          </cell>
          <cell r="O136">
            <v>150</v>
          </cell>
          <cell r="P136">
            <v>60</v>
          </cell>
          <cell r="Q136">
            <v>90</v>
          </cell>
        </row>
        <row r="137">
          <cell r="A137">
            <v>2331</v>
          </cell>
          <cell r="B137" t="str">
            <v>10EMP2331</v>
          </cell>
          <cell r="C137" t="str">
            <v xml:space="preserve">Sanjeet Kumar </v>
          </cell>
          <cell r="D137" t="str">
            <v>Helper</v>
          </cell>
          <cell r="E137" t="str">
            <v>Worker</v>
          </cell>
          <cell r="F137" t="str">
            <v>Metalplast Industries FZE</v>
          </cell>
          <cell r="G137" t="str">
            <v>Metalplast</v>
          </cell>
          <cell r="H137" t="str">
            <v>Metal Plast  - A2 Core Production</v>
          </cell>
          <cell r="I137">
            <v>43843</v>
          </cell>
          <cell r="J137">
            <v>1814</v>
          </cell>
          <cell r="K137">
            <v>1787</v>
          </cell>
          <cell r="L137">
            <v>45657</v>
          </cell>
          <cell r="M137">
            <v>27</v>
          </cell>
          <cell r="N137">
            <v>0</v>
          </cell>
          <cell r="O137">
            <v>148.91666666666666</v>
          </cell>
          <cell r="P137">
            <v>60</v>
          </cell>
          <cell r="Q137">
            <v>88.916666666666657</v>
          </cell>
        </row>
        <row r="138">
          <cell r="A138">
            <v>2372</v>
          </cell>
          <cell r="B138" t="str">
            <v>10EMP2372</v>
          </cell>
          <cell r="C138" t="str">
            <v>Rinaazuddin Khan</v>
          </cell>
          <cell r="D138" t="str">
            <v>Graphic Designer</v>
          </cell>
          <cell r="E138" t="str">
            <v>Staff</v>
          </cell>
          <cell r="F138" t="str">
            <v>Mulk Holdings FZC</v>
          </cell>
          <cell r="G138" t="str">
            <v>MH Shared Services</v>
          </cell>
          <cell r="H138" t="str">
            <v>Management Office</v>
          </cell>
          <cell r="I138">
            <v>44013</v>
          </cell>
          <cell r="J138">
            <v>1644</v>
          </cell>
          <cell r="K138">
            <v>1644</v>
          </cell>
          <cell r="L138">
            <v>45657</v>
          </cell>
          <cell r="M138">
            <v>0</v>
          </cell>
          <cell r="N138">
            <v>0</v>
          </cell>
          <cell r="O138">
            <v>137</v>
          </cell>
          <cell r="P138">
            <v>0</v>
          </cell>
          <cell r="Q138">
            <v>137</v>
          </cell>
        </row>
        <row r="139">
          <cell r="A139">
            <v>2381</v>
          </cell>
          <cell r="B139" t="str">
            <v>10EMP2381</v>
          </cell>
          <cell r="C139" t="str">
            <v>Sunil Kumar Kuswaha</v>
          </cell>
          <cell r="D139" t="str">
            <v>CCL Helper</v>
          </cell>
          <cell r="E139" t="str">
            <v>Worker</v>
          </cell>
          <cell r="F139" t="str">
            <v>Alubond Middle East FZC</v>
          </cell>
          <cell r="G139" t="str">
            <v>CCL</v>
          </cell>
          <cell r="H139" t="str">
            <v>Production (CCL)</v>
          </cell>
          <cell r="I139">
            <v>44072</v>
          </cell>
          <cell r="J139">
            <v>1585</v>
          </cell>
          <cell r="K139">
            <v>1445</v>
          </cell>
          <cell r="L139">
            <v>45657</v>
          </cell>
          <cell r="M139">
            <v>80</v>
          </cell>
          <cell r="N139">
            <v>60</v>
          </cell>
          <cell r="O139">
            <v>120.41666666666669</v>
          </cell>
          <cell r="P139">
            <v>0</v>
          </cell>
          <cell r="Q139">
            <v>120.41666666666669</v>
          </cell>
        </row>
        <row r="140">
          <cell r="A140">
            <v>2397</v>
          </cell>
          <cell r="B140" t="str">
            <v>10EMP2397</v>
          </cell>
          <cell r="C140" t="str">
            <v>Justin Jose</v>
          </cell>
          <cell r="D140" t="str">
            <v>Online QC</v>
          </cell>
          <cell r="E140" t="str">
            <v>Worker</v>
          </cell>
          <cell r="F140" t="str">
            <v>Alubond Middle East FZC</v>
          </cell>
          <cell r="G140" t="str">
            <v>QC (Eurocon)</v>
          </cell>
          <cell r="H140" t="str">
            <v>QC (ACP)</v>
          </cell>
          <cell r="I140">
            <v>44146</v>
          </cell>
          <cell r="J140">
            <v>1511</v>
          </cell>
          <cell r="K140">
            <v>1473</v>
          </cell>
          <cell r="L140">
            <v>45657</v>
          </cell>
          <cell r="M140">
            <v>26</v>
          </cell>
          <cell r="N140">
            <v>12</v>
          </cell>
          <cell r="O140">
            <v>122.75</v>
          </cell>
          <cell r="P140">
            <v>117</v>
          </cell>
          <cell r="Q140">
            <v>5.75</v>
          </cell>
        </row>
        <row r="141">
          <cell r="A141">
            <v>2403</v>
          </cell>
          <cell r="B141" t="str">
            <v>10EMP2403</v>
          </cell>
          <cell r="C141" t="str">
            <v>Pramodkumar Rajan</v>
          </cell>
          <cell r="D141" t="str">
            <v>Production Supervisor</v>
          </cell>
          <cell r="E141" t="str">
            <v>Support Staff</v>
          </cell>
          <cell r="F141" t="str">
            <v>Alubond Middle East FZC</v>
          </cell>
          <cell r="G141" t="str">
            <v>ACP</v>
          </cell>
          <cell r="H141" t="str">
            <v>Production (ACP)</v>
          </cell>
          <cell r="I141">
            <v>44171</v>
          </cell>
          <cell r="J141">
            <v>1486</v>
          </cell>
          <cell r="K141">
            <v>1476</v>
          </cell>
          <cell r="L141">
            <v>45657</v>
          </cell>
          <cell r="M141">
            <v>10</v>
          </cell>
          <cell r="N141">
            <v>0</v>
          </cell>
          <cell r="O141">
            <v>122.99999999999999</v>
          </cell>
          <cell r="P141">
            <v>121</v>
          </cell>
          <cell r="Q141">
            <v>1.9999999999999858</v>
          </cell>
        </row>
        <row r="142">
          <cell r="A142">
            <v>2406</v>
          </cell>
          <cell r="B142" t="str">
            <v>10EMP2406</v>
          </cell>
          <cell r="C142" t="str">
            <v>Alben Johnson</v>
          </cell>
          <cell r="D142" t="str">
            <v>Sales Coordinator</v>
          </cell>
          <cell r="E142" t="str">
            <v>Staff</v>
          </cell>
          <cell r="F142" t="str">
            <v>Alubond Middle East FZC</v>
          </cell>
          <cell r="G142" t="str">
            <v>Sales &amp; Marketing</v>
          </cell>
          <cell r="H142" t="str">
            <v>Sales &amp; Marketing</v>
          </cell>
          <cell r="I142">
            <v>44178</v>
          </cell>
          <cell r="J142">
            <v>1479</v>
          </cell>
          <cell r="K142">
            <v>1475</v>
          </cell>
          <cell r="L142">
            <v>45657</v>
          </cell>
          <cell r="M142">
            <v>4</v>
          </cell>
          <cell r="N142">
            <v>0</v>
          </cell>
          <cell r="O142">
            <v>122.91666666666667</v>
          </cell>
          <cell r="P142">
            <v>69</v>
          </cell>
          <cell r="Q142">
            <v>53.916666666666671</v>
          </cell>
        </row>
        <row r="143">
          <cell r="A143">
            <v>2407</v>
          </cell>
          <cell r="B143" t="str">
            <v>10EMP2407</v>
          </cell>
          <cell r="C143" t="str">
            <v>Radhakrishnan Ramankutty</v>
          </cell>
          <cell r="D143" t="str">
            <v>Maintenance Supervisor</v>
          </cell>
          <cell r="E143" t="str">
            <v>Support Staff</v>
          </cell>
          <cell r="F143" t="str">
            <v>Alubond Middle East FZC</v>
          </cell>
          <cell r="G143" t="str">
            <v>Plant Maintenance</v>
          </cell>
          <cell r="H143" t="str">
            <v>Maintenance (CCL)</v>
          </cell>
          <cell r="I143">
            <v>44181</v>
          </cell>
          <cell r="J143">
            <v>1476</v>
          </cell>
          <cell r="K143">
            <v>1314</v>
          </cell>
          <cell r="L143">
            <v>45657</v>
          </cell>
          <cell r="M143">
            <v>162</v>
          </cell>
          <cell r="N143">
            <v>0</v>
          </cell>
          <cell r="O143">
            <v>109.5</v>
          </cell>
          <cell r="P143">
            <v>98</v>
          </cell>
          <cell r="Q143">
            <v>11.5</v>
          </cell>
        </row>
        <row r="144">
          <cell r="A144">
            <v>2409</v>
          </cell>
          <cell r="B144" t="str">
            <v>10EMP2409</v>
          </cell>
          <cell r="C144" t="str">
            <v>Ranjan Padapattan</v>
          </cell>
          <cell r="D144" t="str">
            <v>Helper</v>
          </cell>
          <cell r="E144" t="str">
            <v>Worker</v>
          </cell>
          <cell r="F144" t="str">
            <v>Alubond Middle East FZC</v>
          </cell>
          <cell r="G144" t="str">
            <v>ACP</v>
          </cell>
          <cell r="H144" t="str">
            <v>Production (ACP)</v>
          </cell>
          <cell r="I144">
            <v>44187</v>
          </cell>
          <cell r="J144">
            <v>1470</v>
          </cell>
          <cell r="K144">
            <v>1463</v>
          </cell>
          <cell r="L144">
            <v>45657</v>
          </cell>
          <cell r="M144">
            <v>7</v>
          </cell>
          <cell r="N144">
            <v>0</v>
          </cell>
          <cell r="O144">
            <v>121.91666666666667</v>
          </cell>
          <cell r="P144">
            <v>61</v>
          </cell>
          <cell r="Q144">
            <v>60.916666666666671</v>
          </cell>
        </row>
        <row r="145">
          <cell r="A145">
            <v>2414</v>
          </cell>
          <cell r="B145" t="str">
            <v>10EMP2414</v>
          </cell>
          <cell r="C145" t="str">
            <v>Rajeev Kumar</v>
          </cell>
          <cell r="D145" t="str">
            <v>Helper</v>
          </cell>
          <cell r="E145" t="str">
            <v>Worker</v>
          </cell>
          <cell r="F145" t="str">
            <v>Alubond Middle East FZC</v>
          </cell>
          <cell r="G145" t="str">
            <v>ACP</v>
          </cell>
          <cell r="H145" t="str">
            <v>Production (ACP)</v>
          </cell>
          <cell r="I145">
            <v>44216</v>
          </cell>
          <cell r="J145">
            <v>1441</v>
          </cell>
          <cell r="K145">
            <v>1399</v>
          </cell>
          <cell r="L145">
            <v>45657</v>
          </cell>
          <cell r="M145">
            <v>42</v>
          </cell>
          <cell r="N145">
            <v>0</v>
          </cell>
          <cell r="O145">
            <v>116.58333333333333</v>
          </cell>
          <cell r="P145">
            <v>60</v>
          </cell>
          <cell r="Q145">
            <v>56.583333333333329</v>
          </cell>
        </row>
        <row r="146">
          <cell r="A146">
            <v>2417</v>
          </cell>
          <cell r="B146" t="str">
            <v>10EMP2417</v>
          </cell>
          <cell r="C146" t="str">
            <v>Mohammad Shafiq</v>
          </cell>
          <cell r="D146" t="str">
            <v>Helper</v>
          </cell>
          <cell r="E146" t="str">
            <v>Worker</v>
          </cell>
          <cell r="F146" t="str">
            <v>Alubond Middle East FZC</v>
          </cell>
          <cell r="G146" t="str">
            <v>Metalplast</v>
          </cell>
          <cell r="H146" t="str">
            <v>Metal Plast  - A2 Core Production</v>
          </cell>
          <cell r="I146">
            <v>44227</v>
          </cell>
          <cell r="J146">
            <v>1430</v>
          </cell>
          <cell r="K146">
            <v>1410</v>
          </cell>
          <cell r="L146">
            <v>45657</v>
          </cell>
          <cell r="M146">
            <v>12</v>
          </cell>
          <cell r="N146">
            <v>8</v>
          </cell>
          <cell r="O146">
            <v>117.5</v>
          </cell>
          <cell r="P146">
            <v>61</v>
          </cell>
          <cell r="Q146">
            <v>56.5</v>
          </cell>
        </row>
        <row r="147">
          <cell r="A147">
            <v>2429</v>
          </cell>
          <cell r="B147" t="str">
            <v>10EMP2429</v>
          </cell>
          <cell r="C147" t="str">
            <v>Anowar Hossain</v>
          </cell>
          <cell r="D147" t="str">
            <v>Helper</v>
          </cell>
          <cell r="E147" t="str">
            <v>Worker</v>
          </cell>
          <cell r="F147" t="str">
            <v>Alubond Middle East FZC</v>
          </cell>
          <cell r="G147" t="str">
            <v>Metalplast</v>
          </cell>
          <cell r="H147" t="str">
            <v>Metal Plast  - A2 Core Production</v>
          </cell>
          <cell r="I147">
            <v>44257</v>
          </cell>
          <cell r="J147">
            <v>1400</v>
          </cell>
          <cell r="K147">
            <v>1386</v>
          </cell>
          <cell r="L147">
            <v>45657</v>
          </cell>
          <cell r="M147">
            <v>14</v>
          </cell>
          <cell r="N147">
            <v>0</v>
          </cell>
          <cell r="O147">
            <v>115.5</v>
          </cell>
          <cell r="P147">
            <v>60</v>
          </cell>
          <cell r="Q147">
            <v>55.5</v>
          </cell>
        </row>
        <row r="148">
          <cell r="A148">
            <v>2430</v>
          </cell>
          <cell r="B148" t="str">
            <v>10EMP2430</v>
          </cell>
          <cell r="C148" t="str">
            <v>Md Masum</v>
          </cell>
          <cell r="D148" t="str">
            <v>Helper</v>
          </cell>
          <cell r="E148" t="str">
            <v>Worker</v>
          </cell>
          <cell r="F148" t="str">
            <v>Alubond Middle East FZC</v>
          </cell>
          <cell r="G148" t="str">
            <v>ACP</v>
          </cell>
          <cell r="H148" t="str">
            <v>Production (ACP)</v>
          </cell>
          <cell r="I148">
            <v>44264</v>
          </cell>
          <cell r="J148">
            <v>1393</v>
          </cell>
          <cell r="K148">
            <v>1389</v>
          </cell>
          <cell r="L148">
            <v>45657</v>
          </cell>
          <cell r="M148">
            <v>4</v>
          </cell>
          <cell r="N148">
            <v>0</v>
          </cell>
          <cell r="O148">
            <v>115.75</v>
          </cell>
          <cell r="P148">
            <v>60</v>
          </cell>
          <cell r="Q148">
            <v>55.75</v>
          </cell>
        </row>
        <row r="149">
          <cell r="A149">
            <v>2431</v>
          </cell>
          <cell r="B149" t="str">
            <v>10EMP2431</v>
          </cell>
          <cell r="C149" t="str">
            <v>Mohammed Dider</v>
          </cell>
          <cell r="D149" t="str">
            <v>Helper</v>
          </cell>
          <cell r="E149" t="str">
            <v>Worker</v>
          </cell>
          <cell r="F149" t="str">
            <v>Alubond Middle East FZC</v>
          </cell>
          <cell r="G149" t="str">
            <v>Metalplast</v>
          </cell>
          <cell r="H149" t="str">
            <v>Metal Plast  - A2 Core Production</v>
          </cell>
          <cell r="I149">
            <v>44273</v>
          </cell>
          <cell r="J149">
            <v>1384</v>
          </cell>
          <cell r="K149">
            <v>1368</v>
          </cell>
          <cell r="L149">
            <v>45657</v>
          </cell>
          <cell r="M149">
            <v>16</v>
          </cell>
          <cell r="N149">
            <v>0</v>
          </cell>
          <cell r="O149">
            <v>114</v>
          </cell>
          <cell r="P149">
            <v>61</v>
          </cell>
          <cell r="Q149">
            <v>53</v>
          </cell>
        </row>
        <row r="150">
          <cell r="A150">
            <v>2436</v>
          </cell>
          <cell r="B150" t="str">
            <v>10EMP2436</v>
          </cell>
          <cell r="C150" t="str">
            <v>Mumeen Khan</v>
          </cell>
          <cell r="D150" t="str">
            <v>Forklift Operator</v>
          </cell>
          <cell r="E150" t="str">
            <v>Worker</v>
          </cell>
          <cell r="F150" t="str">
            <v>Metalplast Industries FZE</v>
          </cell>
          <cell r="G150" t="str">
            <v>Metalplast</v>
          </cell>
          <cell r="H150" t="str">
            <v>Metalplast Production</v>
          </cell>
          <cell r="I150">
            <v>44279</v>
          </cell>
          <cell r="J150">
            <v>1378</v>
          </cell>
          <cell r="K150">
            <v>1378</v>
          </cell>
          <cell r="L150">
            <v>45657</v>
          </cell>
          <cell r="M150">
            <v>0</v>
          </cell>
          <cell r="N150">
            <v>0</v>
          </cell>
          <cell r="O150">
            <v>114.83333333333334</v>
          </cell>
          <cell r="P150">
            <v>60</v>
          </cell>
          <cell r="Q150">
            <v>54.833333333333343</v>
          </cell>
        </row>
        <row r="151">
          <cell r="A151">
            <v>2440</v>
          </cell>
          <cell r="B151" t="str">
            <v>10EMP2440</v>
          </cell>
          <cell r="C151" t="str">
            <v>Md Alamgir Hossain</v>
          </cell>
          <cell r="D151" t="str">
            <v>Helper</v>
          </cell>
          <cell r="E151" t="str">
            <v>Worker</v>
          </cell>
          <cell r="F151" t="str">
            <v>Alubond Middle East FZC</v>
          </cell>
          <cell r="G151" t="str">
            <v>ACP</v>
          </cell>
          <cell r="H151" t="str">
            <v>Production (ACP)</v>
          </cell>
          <cell r="I151">
            <v>44294</v>
          </cell>
          <cell r="J151">
            <v>1363</v>
          </cell>
          <cell r="K151">
            <v>1363</v>
          </cell>
          <cell r="L151">
            <v>45657</v>
          </cell>
          <cell r="M151">
            <v>0</v>
          </cell>
          <cell r="N151">
            <v>0</v>
          </cell>
          <cell r="O151">
            <v>113.58333333333333</v>
          </cell>
          <cell r="P151">
            <v>61</v>
          </cell>
          <cell r="Q151">
            <v>52.583333333333329</v>
          </cell>
        </row>
        <row r="152">
          <cell r="A152">
            <v>2448</v>
          </cell>
          <cell r="B152" t="str">
            <v>10EMP2448</v>
          </cell>
          <cell r="C152" t="str">
            <v xml:space="preserve">Md Asrul </v>
          </cell>
          <cell r="D152" t="str">
            <v>Helper</v>
          </cell>
          <cell r="E152" t="str">
            <v>Worker</v>
          </cell>
          <cell r="F152" t="str">
            <v>Metalplast Industries FZE</v>
          </cell>
          <cell r="G152" t="str">
            <v>Eurocon Service Dpt</v>
          </cell>
          <cell r="H152" t="str">
            <v>Housekeeping</v>
          </cell>
          <cell r="I152">
            <v>44356</v>
          </cell>
          <cell r="J152">
            <v>1301</v>
          </cell>
          <cell r="K152">
            <v>1247</v>
          </cell>
          <cell r="L152">
            <v>45657</v>
          </cell>
          <cell r="M152">
            <v>1</v>
          </cell>
          <cell r="N152">
            <v>53</v>
          </cell>
          <cell r="O152">
            <v>103.91666666666667</v>
          </cell>
          <cell r="P152">
            <v>61</v>
          </cell>
          <cell r="Q152">
            <v>42.916666666666671</v>
          </cell>
        </row>
        <row r="153">
          <cell r="A153">
            <v>2449</v>
          </cell>
          <cell r="B153" t="str">
            <v>10EMP2449</v>
          </cell>
          <cell r="C153" t="str">
            <v>Md Fahad</v>
          </cell>
          <cell r="D153" t="str">
            <v>Helper</v>
          </cell>
          <cell r="E153" t="str">
            <v>Worker</v>
          </cell>
          <cell r="F153" t="str">
            <v>Metalplast Industries FZE</v>
          </cell>
          <cell r="G153" t="str">
            <v>Metalplast</v>
          </cell>
          <cell r="H153" t="str">
            <v>Metalplast Production</v>
          </cell>
          <cell r="I153">
            <v>44343</v>
          </cell>
          <cell r="J153">
            <v>1314</v>
          </cell>
          <cell r="K153">
            <v>1314</v>
          </cell>
          <cell r="L153">
            <v>45657</v>
          </cell>
          <cell r="M153">
            <v>0</v>
          </cell>
          <cell r="N153">
            <v>0</v>
          </cell>
          <cell r="O153">
            <v>109.5</v>
          </cell>
          <cell r="P153">
            <v>64</v>
          </cell>
          <cell r="Q153">
            <v>45.5</v>
          </cell>
        </row>
        <row r="154">
          <cell r="A154">
            <v>2450</v>
          </cell>
          <cell r="B154" t="str">
            <v>10EMP2450</v>
          </cell>
          <cell r="C154" t="str">
            <v>Najir Hussain</v>
          </cell>
          <cell r="D154" t="str">
            <v>Helper</v>
          </cell>
          <cell r="E154" t="str">
            <v>Worker</v>
          </cell>
          <cell r="F154" t="str">
            <v>Metalplast Industries FZE</v>
          </cell>
          <cell r="G154" t="str">
            <v>Metalplast</v>
          </cell>
          <cell r="H154" t="str">
            <v>Metalplast Production</v>
          </cell>
          <cell r="I154">
            <v>44356</v>
          </cell>
          <cell r="J154">
            <v>1301</v>
          </cell>
          <cell r="K154">
            <v>1240</v>
          </cell>
          <cell r="L154">
            <v>45657</v>
          </cell>
          <cell r="M154">
            <v>31</v>
          </cell>
          <cell r="N154">
            <v>30</v>
          </cell>
          <cell r="O154">
            <v>103.33333333333334</v>
          </cell>
          <cell r="P154">
            <v>60</v>
          </cell>
          <cell r="Q154">
            <v>43.333333333333343</v>
          </cell>
        </row>
        <row r="155">
          <cell r="A155">
            <v>2451</v>
          </cell>
          <cell r="B155" t="str">
            <v>10EMP2451</v>
          </cell>
          <cell r="C155" t="str">
            <v>Faisal Yousaf Muhammad</v>
          </cell>
          <cell r="D155" t="str">
            <v>Blownfilm Plant Operator</v>
          </cell>
          <cell r="E155" t="str">
            <v>Worker</v>
          </cell>
          <cell r="F155" t="str">
            <v>Alubond Middle East FZC</v>
          </cell>
          <cell r="G155" t="str">
            <v>Metalplast</v>
          </cell>
          <cell r="H155" t="str">
            <v xml:space="preserve">Blown Film </v>
          </cell>
          <cell r="I155">
            <v>44364</v>
          </cell>
          <cell r="J155">
            <v>1293</v>
          </cell>
          <cell r="K155">
            <v>1290</v>
          </cell>
          <cell r="L155">
            <v>45657</v>
          </cell>
          <cell r="M155">
            <v>3</v>
          </cell>
          <cell r="N155">
            <v>0</v>
          </cell>
          <cell r="O155">
            <v>107.5</v>
          </cell>
          <cell r="P155">
            <v>89</v>
          </cell>
          <cell r="Q155">
            <v>18.5</v>
          </cell>
        </row>
        <row r="156">
          <cell r="A156">
            <v>2461</v>
          </cell>
          <cell r="B156" t="str">
            <v>10EMP2461</v>
          </cell>
          <cell r="C156" t="str">
            <v>Mohammed Tayab Ali</v>
          </cell>
          <cell r="D156" t="str">
            <v>Construction Manager</v>
          </cell>
          <cell r="E156" t="str">
            <v>Staff</v>
          </cell>
          <cell r="F156" t="str">
            <v>Eurocon Building Induastries LLC</v>
          </cell>
          <cell r="G156" t="str">
            <v>Management Properties</v>
          </cell>
          <cell r="H156" t="str">
            <v>Management Properties</v>
          </cell>
          <cell r="I156">
            <v>44433</v>
          </cell>
          <cell r="J156">
            <v>1224</v>
          </cell>
          <cell r="K156">
            <v>1224</v>
          </cell>
          <cell r="L156">
            <v>45657</v>
          </cell>
          <cell r="M156">
            <v>0</v>
          </cell>
          <cell r="N156">
            <v>0</v>
          </cell>
          <cell r="O156">
            <v>102</v>
          </cell>
          <cell r="P156">
            <v>59</v>
          </cell>
          <cell r="Q156">
            <v>43</v>
          </cell>
        </row>
        <row r="157">
          <cell r="A157">
            <v>2471</v>
          </cell>
          <cell r="B157" t="str">
            <v>10EMP2471</v>
          </cell>
          <cell r="C157" t="str">
            <v>Gobri Yadav</v>
          </cell>
          <cell r="D157" t="str">
            <v>Fabricator</v>
          </cell>
          <cell r="E157" t="str">
            <v>Worker</v>
          </cell>
          <cell r="F157" t="str">
            <v>Eurocon Building Induastries LLC</v>
          </cell>
          <cell r="G157" t="str">
            <v>Mulk Manufacture &amp; Retail LLC</v>
          </cell>
          <cell r="H157" t="str">
            <v>Mulk Manufacture &amp; Retail LLC</v>
          </cell>
          <cell r="I157">
            <v>44466</v>
          </cell>
          <cell r="J157">
            <v>1191</v>
          </cell>
          <cell r="K157">
            <v>1164</v>
          </cell>
          <cell r="L157">
            <v>45657</v>
          </cell>
          <cell r="M157">
            <v>27</v>
          </cell>
          <cell r="N157">
            <v>0</v>
          </cell>
          <cell r="O157">
            <v>97</v>
          </cell>
          <cell r="P157">
            <v>60</v>
          </cell>
          <cell r="Q157">
            <v>37</v>
          </cell>
        </row>
        <row r="158">
          <cell r="A158">
            <v>2472</v>
          </cell>
          <cell r="B158" t="str">
            <v>10EMP2472</v>
          </cell>
          <cell r="C158" t="str">
            <v>Abdur Rehman</v>
          </cell>
          <cell r="D158" t="str">
            <v>Security Guard</v>
          </cell>
          <cell r="E158" t="str">
            <v>Support Staff</v>
          </cell>
          <cell r="F158" t="str">
            <v>Alubond Middle East FZC</v>
          </cell>
          <cell r="G158" t="str">
            <v>Eurocon Service Dpt</v>
          </cell>
          <cell r="H158" t="str">
            <v>Transport</v>
          </cell>
          <cell r="I158">
            <v>44467</v>
          </cell>
          <cell r="J158">
            <v>1190</v>
          </cell>
          <cell r="K158">
            <v>1190</v>
          </cell>
          <cell r="L158">
            <v>45657</v>
          </cell>
          <cell r="M158">
            <v>0</v>
          </cell>
          <cell r="N158">
            <v>0</v>
          </cell>
          <cell r="O158">
            <v>99.166666666666657</v>
          </cell>
          <cell r="P158">
            <v>0</v>
          </cell>
          <cell r="Q158">
            <v>99.166666666666657</v>
          </cell>
        </row>
        <row r="159">
          <cell r="A159">
            <v>2478</v>
          </cell>
          <cell r="B159" t="str">
            <v>10EMP2478</v>
          </cell>
          <cell r="C159" t="str">
            <v>Saqib Raza</v>
          </cell>
          <cell r="D159" t="str">
            <v>Fabricator</v>
          </cell>
          <cell r="E159" t="str">
            <v>Worker</v>
          </cell>
          <cell r="F159" t="str">
            <v>Eurocon Building Induastries LLC</v>
          </cell>
          <cell r="G159" t="str">
            <v>Mulk Manufacture &amp; Retail LLC</v>
          </cell>
          <cell r="H159" t="str">
            <v>Mulk Manufacture &amp; Retail LLC</v>
          </cell>
          <cell r="I159">
            <v>44492</v>
          </cell>
          <cell r="J159">
            <v>1165</v>
          </cell>
          <cell r="K159">
            <v>1135</v>
          </cell>
          <cell r="L159">
            <v>45657</v>
          </cell>
          <cell r="M159">
            <v>30</v>
          </cell>
          <cell r="N159">
            <v>0</v>
          </cell>
          <cell r="O159">
            <v>94.583333333333329</v>
          </cell>
          <cell r="P159">
            <v>60</v>
          </cell>
          <cell r="Q159">
            <v>34.583333333333329</v>
          </cell>
        </row>
        <row r="160">
          <cell r="A160">
            <v>2479</v>
          </cell>
          <cell r="B160" t="str">
            <v>10EMP2479</v>
          </cell>
          <cell r="C160" t="str">
            <v>Naveed Rasheed</v>
          </cell>
          <cell r="D160" t="str">
            <v>Fabricator/Silicon/crimping/Copy Router Operator</v>
          </cell>
          <cell r="E160" t="str">
            <v>Worker</v>
          </cell>
          <cell r="F160" t="str">
            <v>Eurocon Building Induastries LLC</v>
          </cell>
          <cell r="G160" t="str">
            <v>Mulk Manufacture &amp; Retail LLC</v>
          </cell>
          <cell r="H160" t="str">
            <v>Mulk Manufacture &amp; Retail LLC</v>
          </cell>
          <cell r="I160">
            <v>44492</v>
          </cell>
          <cell r="J160">
            <v>1165</v>
          </cell>
          <cell r="K160">
            <v>1104</v>
          </cell>
          <cell r="L160">
            <v>45657</v>
          </cell>
          <cell r="M160">
            <v>26</v>
          </cell>
          <cell r="N160">
            <v>35</v>
          </cell>
          <cell r="O160">
            <v>92</v>
          </cell>
          <cell r="P160">
            <v>60</v>
          </cell>
          <cell r="Q160">
            <v>32</v>
          </cell>
        </row>
        <row r="161">
          <cell r="A161">
            <v>2480</v>
          </cell>
          <cell r="B161" t="str">
            <v>10EMP2480</v>
          </cell>
          <cell r="C161" t="str">
            <v>Anzar Haleedhulla</v>
          </cell>
          <cell r="D161" t="str">
            <v>Driver</v>
          </cell>
          <cell r="E161" t="str">
            <v>Support Staff</v>
          </cell>
          <cell r="F161" t="str">
            <v>Mulk Holdings FZC</v>
          </cell>
          <cell r="G161" t="str">
            <v>Eurocon Service Dpt</v>
          </cell>
          <cell r="H161" t="str">
            <v>Finance &amp; Accounts</v>
          </cell>
          <cell r="I161">
            <v>44502</v>
          </cell>
          <cell r="J161">
            <v>1155</v>
          </cell>
          <cell r="K161">
            <v>1155</v>
          </cell>
          <cell r="L161">
            <v>45657</v>
          </cell>
          <cell r="M161">
            <v>0</v>
          </cell>
          <cell r="N161">
            <v>0</v>
          </cell>
          <cell r="O161">
            <v>96.25</v>
          </cell>
          <cell r="P161">
            <v>10</v>
          </cell>
          <cell r="Q161">
            <v>86.25</v>
          </cell>
        </row>
        <row r="162">
          <cell r="A162">
            <v>2481</v>
          </cell>
          <cell r="B162" t="str">
            <v>10EMP2481</v>
          </cell>
          <cell r="C162" t="str">
            <v>Albin Kavil Joseph</v>
          </cell>
          <cell r="D162" t="str">
            <v xml:space="preserve">Electrical Supervisor </v>
          </cell>
          <cell r="E162" t="str">
            <v>Staff</v>
          </cell>
          <cell r="F162" t="str">
            <v>Alubond Middle East FZC</v>
          </cell>
          <cell r="G162" t="str">
            <v>Plant Maintenance</v>
          </cell>
          <cell r="H162" t="str">
            <v>Maintenance  (ACP &amp; CCL)</v>
          </cell>
          <cell r="I162">
            <v>44504</v>
          </cell>
          <cell r="J162">
            <v>1153</v>
          </cell>
          <cell r="K162">
            <v>1126</v>
          </cell>
          <cell r="L162">
            <v>45657</v>
          </cell>
          <cell r="M162">
            <v>0</v>
          </cell>
          <cell r="N162">
            <v>27</v>
          </cell>
          <cell r="O162">
            <v>93.833333333333329</v>
          </cell>
          <cell r="P162">
            <v>70</v>
          </cell>
          <cell r="Q162">
            <v>23.833333333333329</v>
          </cell>
        </row>
        <row r="163">
          <cell r="A163">
            <v>2482</v>
          </cell>
          <cell r="B163" t="str">
            <v>10EMP2482</v>
          </cell>
          <cell r="C163" t="str">
            <v>Muhammad Adnan Akram</v>
          </cell>
          <cell r="D163" t="str">
            <v>Fabricator Cum Driver</v>
          </cell>
          <cell r="E163" t="str">
            <v>Worker</v>
          </cell>
          <cell r="F163" t="str">
            <v>Eurocon Building Induastries LLC</v>
          </cell>
          <cell r="G163" t="str">
            <v>Mulk Manufacture &amp; Retail LLC</v>
          </cell>
          <cell r="H163" t="str">
            <v>Mulk Manufacture &amp; Retail LLC</v>
          </cell>
          <cell r="I163">
            <v>44506</v>
          </cell>
          <cell r="J163">
            <v>1151</v>
          </cell>
          <cell r="K163">
            <v>1105</v>
          </cell>
          <cell r="L163">
            <v>45657</v>
          </cell>
          <cell r="M163">
            <v>15</v>
          </cell>
          <cell r="N163">
            <v>31</v>
          </cell>
          <cell r="O163">
            <v>92.083333333333343</v>
          </cell>
          <cell r="P163">
            <v>0</v>
          </cell>
          <cell r="Q163">
            <v>92.083333333333343</v>
          </cell>
        </row>
        <row r="164">
          <cell r="A164">
            <v>2483</v>
          </cell>
          <cell r="B164" t="str">
            <v>10EMP2483</v>
          </cell>
          <cell r="C164" t="str">
            <v>Gaurav Singh Nawal Kishor</v>
          </cell>
          <cell r="D164" t="str">
            <v>CCL Operator</v>
          </cell>
          <cell r="E164" t="str">
            <v>Worker</v>
          </cell>
          <cell r="F164" t="str">
            <v>Alubond Middle East FZC</v>
          </cell>
          <cell r="G164" t="str">
            <v>CCL</v>
          </cell>
          <cell r="H164" t="str">
            <v>Production (CCL)</v>
          </cell>
          <cell r="I164">
            <v>44511</v>
          </cell>
          <cell r="J164">
            <v>1146</v>
          </cell>
          <cell r="K164">
            <v>1059</v>
          </cell>
          <cell r="L164">
            <v>45657</v>
          </cell>
          <cell r="M164">
            <v>11</v>
          </cell>
          <cell r="N164">
            <v>76</v>
          </cell>
          <cell r="O164">
            <v>88.25</v>
          </cell>
          <cell r="P164">
            <v>108</v>
          </cell>
          <cell r="Q164">
            <v>-19.75</v>
          </cell>
        </row>
        <row r="165">
          <cell r="A165">
            <v>2486</v>
          </cell>
          <cell r="B165" t="str">
            <v>10EMP2486</v>
          </cell>
          <cell r="C165" t="str">
            <v xml:space="preserve">Maaz Ahmed </v>
          </cell>
          <cell r="D165" t="str">
            <v>Sales Coordinator</v>
          </cell>
          <cell r="E165" t="str">
            <v>Staff</v>
          </cell>
          <cell r="F165" t="str">
            <v>Alubond Middle East FZC</v>
          </cell>
          <cell r="G165" t="str">
            <v>Sales &amp; Marketing</v>
          </cell>
          <cell r="H165" t="str">
            <v>Sales &amp; Marketing</v>
          </cell>
          <cell r="I165">
            <v>44521</v>
          </cell>
          <cell r="J165">
            <v>1136</v>
          </cell>
          <cell r="K165">
            <v>1130</v>
          </cell>
          <cell r="L165">
            <v>45657</v>
          </cell>
          <cell r="M165">
            <v>6</v>
          </cell>
          <cell r="N165">
            <v>0</v>
          </cell>
          <cell r="O165">
            <v>94.166666666666671</v>
          </cell>
          <cell r="P165">
            <v>35</v>
          </cell>
          <cell r="Q165">
            <v>59.166666666666671</v>
          </cell>
        </row>
        <row r="166">
          <cell r="A166">
            <v>2491</v>
          </cell>
          <cell r="B166" t="str">
            <v>10EMP2491</v>
          </cell>
          <cell r="C166" t="str">
            <v>Sahib Zada Sher Afzal Khan</v>
          </cell>
          <cell r="D166" t="str">
            <v>Driver</v>
          </cell>
          <cell r="E166" t="str">
            <v>Support Staff</v>
          </cell>
          <cell r="F166" t="str">
            <v>Alubond Middle East FZC</v>
          </cell>
          <cell r="G166" t="str">
            <v>Eurocon Service Dpt</v>
          </cell>
          <cell r="H166" t="str">
            <v>Sales &amp; Marketing</v>
          </cell>
          <cell r="I166">
            <v>44539</v>
          </cell>
          <cell r="J166">
            <v>1118</v>
          </cell>
          <cell r="K166">
            <v>1075</v>
          </cell>
          <cell r="L166">
            <v>45657</v>
          </cell>
          <cell r="M166">
            <v>43</v>
          </cell>
          <cell r="N166">
            <v>0</v>
          </cell>
          <cell r="O166">
            <v>89.583333333333329</v>
          </cell>
          <cell r="P166">
            <v>60</v>
          </cell>
          <cell r="Q166">
            <v>29.583333333333329</v>
          </cell>
        </row>
        <row r="167">
          <cell r="A167">
            <v>2499</v>
          </cell>
          <cell r="B167" t="str">
            <v>10EMP2499</v>
          </cell>
          <cell r="C167" t="str">
            <v>Mohammed Ramjan Ali</v>
          </cell>
          <cell r="D167" t="str">
            <v>Helper</v>
          </cell>
          <cell r="E167" t="str">
            <v>Worker</v>
          </cell>
          <cell r="F167" t="str">
            <v>Alubond Middle East FZC</v>
          </cell>
          <cell r="G167" t="str">
            <v>ACP</v>
          </cell>
          <cell r="H167" t="str">
            <v>Production (ACP)</v>
          </cell>
          <cell r="I167">
            <v>44579</v>
          </cell>
          <cell r="J167">
            <v>1078</v>
          </cell>
          <cell r="K167">
            <v>1075</v>
          </cell>
          <cell r="L167">
            <v>45657</v>
          </cell>
          <cell r="M167">
            <v>3</v>
          </cell>
          <cell r="N167">
            <v>0</v>
          </cell>
          <cell r="O167">
            <v>89.583333333333329</v>
          </cell>
          <cell r="P167">
            <v>61</v>
          </cell>
          <cell r="Q167">
            <v>28.583333333333329</v>
          </cell>
        </row>
        <row r="168">
          <cell r="A168">
            <v>2500</v>
          </cell>
          <cell r="B168" t="str">
            <v>10EMP2500</v>
          </cell>
          <cell r="C168" t="str">
            <v>Dhurba Prakash Neupane</v>
          </cell>
          <cell r="D168" t="str">
            <v>Assistant QC(ACP &amp; CCL)</v>
          </cell>
          <cell r="E168" t="str">
            <v>Worker</v>
          </cell>
          <cell r="F168" t="str">
            <v>Alubond Middle East FZC</v>
          </cell>
          <cell r="G168" t="str">
            <v>QC (Eurocon)</v>
          </cell>
          <cell r="H168" t="str">
            <v>QC (ACP &amp; CCL)</v>
          </cell>
          <cell r="I168">
            <v>44585</v>
          </cell>
          <cell r="J168">
            <v>1072</v>
          </cell>
          <cell r="K168">
            <v>1063</v>
          </cell>
          <cell r="L168">
            <v>45657</v>
          </cell>
          <cell r="M168">
            <v>9</v>
          </cell>
          <cell r="N168">
            <v>0</v>
          </cell>
          <cell r="O168">
            <v>88.583333333333343</v>
          </cell>
          <cell r="P168">
            <v>62</v>
          </cell>
          <cell r="Q168">
            <v>26.583333333333343</v>
          </cell>
        </row>
        <row r="169">
          <cell r="A169">
            <v>2501</v>
          </cell>
          <cell r="B169" t="str">
            <v>10EMP2501</v>
          </cell>
          <cell r="C169" t="str">
            <v>Kamlesh Kumar Kushwaha</v>
          </cell>
          <cell r="D169" t="str">
            <v>Helper</v>
          </cell>
          <cell r="E169" t="str">
            <v>Worker</v>
          </cell>
          <cell r="F169" t="str">
            <v>Alubond Middle East FZC</v>
          </cell>
          <cell r="G169" t="str">
            <v>ACP</v>
          </cell>
          <cell r="H169" t="str">
            <v>Production (ACP)</v>
          </cell>
          <cell r="I169">
            <v>44559</v>
          </cell>
          <cell r="J169">
            <v>1098</v>
          </cell>
          <cell r="K169">
            <v>1067</v>
          </cell>
          <cell r="L169">
            <v>45657</v>
          </cell>
          <cell r="M169">
            <v>0</v>
          </cell>
          <cell r="N169">
            <v>31</v>
          </cell>
          <cell r="O169">
            <v>88.916666666666671</v>
          </cell>
          <cell r="P169">
            <v>60</v>
          </cell>
          <cell r="Q169">
            <v>28.916666666666671</v>
          </cell>
        </row>
        <row r="170">
          <cell r="A170">
            <v>2502</v>
          </cell>
          <cell r="B170" t="str">
            <v>10EMP2502</v>
          </cell>
          <cell r="C170" t="str">
            <v>Sahadat Sheikh</v>
          </cell>
          <cell r="D170" t="str">
            <v>Office boy</v>
          </cell>
          <cell r="E170" t="str">
            <v>Worker</v>
          </cell>
          <cell r="F170" t="str">
            <v>Metalplast Industries FZE</v>
          </cell>
          <cell r="G170" t="str">
            <v>ACP</v>
          </cell>
          <cell r="H170" t="str">
            <v>Production (ACP)</v>
          </cell>
          <cell r="I170">
            <v>44587</v>
          </cell>
          <cell r="J170">
            <v>1070</v>
          </cell>
          <cell r="K170">
            <v>1070</v>
          </cell>
          <cell r="L170">
            <v>45657</v>
          </cell>
          <cell r="M170">
            <v>0</v>
          </cell>
          <cell r="N170">
            <v>0</v>
          </cell>
          <cell r="O170">
            <v>89.166666666666671</v>
          </cell>
          <cell r="P170">
            <v>60</v>
          </cell>
          <cell r="Q170">
            <v>29.166666666666671</v>
          </cell>
        </row>
        <row r="171">
          <cell r="A171">
            <v>2503</v>
          </cell>
          <cell r="B171" t="str">
            <v>10EMP2503</v>
          </cell>
          <cell r="C171" t="str">
            <v>Md Rajib Hossen</v>
          </cell>
          <cell r="D171" t="str">
            <v>Office boy</v>
          </cell>
          <cell r="E171" t="str">
            <v>Support Staff</v>
          </cell>
          <cell r="F171" t="str">
            <v>Metalplast Industries FZE</v>
          </cell>
          <cell r="G171" t="str">
            <v>Management Support Staff</v>
          </cell>
          <cell r="H171" t="str">
            <v>Management Residence</v>
          </cell>
          <cell r="I171">
            <v>44586</v>
          </cell>
          <cell r="J171">
            <v>1071</v>
          </cell>
          <cell r="K171">
            <v>1040</v>
          </cell>
          <cell r="L171">
            <v>45657</v>
          </cell>
          <cell r="M171">
            <v>31</v>
          </cell>
          <cell r="N171">
            <v>0</v>
          </cell>
          <cell r="O171">
            <v>86.666666666666671</v>
          </cell>
          <cell r="P171">
            <v>60</v>
          </cell>
          <cell r="Q171">
            <v>26.666666666666671</v>
          </cell>
        </row>
        <row r="172">
          <cell r="A172">
            <v>2504</v>
          </cell>
          <cell r="B172" t="str">
            <v>10EMP2504</v>
          </cell>
          <cell r="C172" t="str">
            <v>Muhammad Tayyab</v>
          </cell>
          <cell r="D172" t="str">
            <v>Helper</v>
          </cell>
          <cell r="E172" t="str">
            <v>Worker</v>
          </cell>
          <cell r="F172" t="str">
            <v>Metalplast Industries FZE</v>
          </cell>
          <cell r="G172" t="str">
            <v>Metalplast</v>
          </cell>
          <cell r="H172" t="str">
            <v>Metalplast Production</v>
          </cell>
          <cell r="I172">
            <v>44582</v>
          </cell>
          <cell r="J172">
            <v>1075</v>
          </cell>
          <cell r="K172">
            <v>1033</v>
          </cell>
          <cell r="L172">
            <v>45657</v>
          </cell>
          <cell r="M172">
            <v>42</v>
          </cell>
          <cell r="N172">
            <v>0</v>
          </cell>
          <cell r="O172">
            <v>86.083333333333329</v>
          </cell>
          <cell r="P172">
            <v>60</v>
          </cell>
          <cell r="Q172">
            <v>26.083333333333329</v>
          </cell>
        </row>
        <row r="173">
          <cell r="A173">
            <v>2506</v>
          </cell>
          <cell r="B173" t="str">
            <v>10EMP2506</v>
          </cell>
          <cell r="C173" t="str">
            <v>Md Sayful Islam</v>
          </cell>
          <cell r="D173" t="str">
            <v>Helper</v>
          </cell>
          <cell r="E173" t="str">
            <v>Worker</v>
          </cell>
          <cell r="F173" t="str">
            <v>Metalplast Industries FZE</v>
          </cell>
          <cell r="G173" t="str">
            <v>Metalplast</v>
          </cell>
          <cell r="H173" t="str">
            <v>Metalplast Production</v>
          </cell>
          <cell r="I173">
            <v>44585</v>
          </cell>
          <cell r="J173">
            <v>1072</v>
          </cell>
          <cell r="K173">
            <v>1072</v>
          </cell>
          <cell r="L173">
            <v>45657</v>
          </cell>
          <cell r="M173">
            <v>0</v>
          </cell>
          <cell r="N173">
            <v>0</v>
          </cell>
          <cell r="O173">
            <v>89.333333333333343</v>
          </cell>
          <cell r="P173">
            <v>60</v>
          </cell>
          <cell r="Q173">
            <v>29.333333333333343</v>
          </cell>
        </row>
        <row r="174">
          <cell r="A174">
            <v>2507</v>
          </cell>
          <cell r="B174" t="str">
            <v>10EMP2507</v>
          </cell>
          <cell r="C174" t="str">
            <v>Umar Farooq</v>
          </cell>
          <cell r="D174" t="str">
            <v>Helper</v>
          </cell>
          <cell r="E174" t="str">
            <v>Worker</v>
          </cell>
          <cell r="F174" t="str">
            <v>Metalplast Industries FZE</v>
          </cell>
          <cell r="G174" t="str">
            <v>Metalplast</v>
          </cell>
          <cell r="H174" t="str">
            <v>Metalplast Production</v>
          </cell>
          <cell r="I174">
            <v>44585</v>
          </cell>
          <cell r="J174">
            <v>1072</v>
          </cell>
          <cell r="K174">
            <v>1072</v>
          </cell>
          <cell r="L174">
            <v>45657</v>
          </cell>
          <cell r="M174">
            <v>0</v>
          </cell>
          <cell r="N174">
            <v>0</v>
          </cell>
          <cell r="O174">
            <v>89.333333333333343</v>
          </cell>
          <cell r="P174">
            <v>60</v>
          </cell>
          <cell r="Q174">
            <v>29.333333333333343</v>
          </cell>
        </row>
        <row r="175">
          <cell r="A175">
            <v>2508</v>
          </cell>
          <cell r="B175" t="str">
            <v>10EMP2508</v>
          </cell>
          <cell r="C175" t="str">
            <v>Md Saidur Islam</v>
          </cell>
          <cell r="D175" t="str">
            <v>Helper</v>
          </cell>
          <cell r="E175" t="str">
            <v>Worker</v>
          </cell>
          <cell r="F175" t="str">
            <v>Metalplast Industries FZE</v>
          </cell>
          <cell r="G175" t="str">
            <v>Metalplast</v>
          </cell>
          <cell r="H175" t="str">
            <v>Metal Plast  - A2 Core Production</v>
          </cell>
          <cell r="I175">
            <v>44586</v>
          </cell>
          <cell r="J175">
            <v>1071</v>
          </cell>
          <cell r="K175">
            <v>926</v>
          </cell>
          <cell r="L175">
            <v>45657</v>
          </cell>
          <cell r="M175">
            <v>130</v>
          </cell>
          <cell r="N175">
            <v>15</v>
          </cell>
          <cell r="O175">
            <v>77.166666666666671</v>
          </cell>
          <cell r="P175">
            <v>60</v>
          </cell>
          <cell r="Q175">
            <v>17.166666666666671</v>
          </cell>
        </row>
        <row r="176">
          <cell r="A176">
            <v>2509</v>
          </cell>
          <cell r="B176" t="str">
            <v>10EMP2509</v>
          </cell>
          <cell r="C176" t="str">
            <v>Md Israfil Ibrahim</v>
          </cell>
          <cell r="D176" t="str">
            <v>Helper</v>
          </cell>
          <cell r="E176" t="str">
            <v>Worker</v>
          </cell>
          <cell r="F176" t="str">
            <v>Metalplast Industries FZE</v>
          </cell>
          <cell r="G176" t="str">
            <v>Metalplast</v>
          </cell>
          <cell r="H176" t="str">
            <v>Metal Plast  - A2 Core Production</v>
          </cell>
          <cell r="I176">
            <v>44586</v>
          </cell>
          <cell r="J176">
            <v>1071</v>
          </cell>
          <cell r="K176">
            <v>1061</v>
          </cell>
          <cell r="L176">
            <v>45657</v>
          </cell>
          <cell r="M176">
            <v>10</v>
          </cell>
          <cell r="N176">
            <v>0</v>
          </cell>
          <cell r="O176">
            <v>88.416666666666671</v>
          </cell>
          <cell r="P176">
            <v>60</v>
          </cell>
          <cell r="Q176">
            <v>28.416666666666671</v>
          </cell>
        </row>
        <row r="177">
          <cell r="A177">
            <v>2510</v>
          </cell>
          <cell r="B177" t="str">
            <v>10EMP2510</v>
          </cell>
          <cell r="C177" t="str">
            <v>Sanjay Kumar Chaudhari</v>
          </cell>
          <cell r="D177" t="str">
            <v>Fabricator</v>
          </cell>
          <cell r="E177" t="str">
            <v>Worker</v>
          </cell>
          <cell r="F177" t="str">
            <v>Eurocon Building Induastries LLC</v>
          </cell>
          <cell r="G177" t="str">
            <v>Mulk Manufacture &amp; Retail LLC</v>
          </cell>
          <cell r="H177" t="str">
            <v>Mulk Manufacture &amp; Retail LLC</v>
          </cell>
          <cell r="I177">
            <v>44592</v>
          </cell>
          <cell r="J177">
            <v>1065</v>
          </cell>
          <cell r="K177">
            <v>1042</v>
          </cell>
          <cell r="L177">
            <v>45657</v>
          </cell>
          <cell r="M177">
            <v>23</v>
          </cell>
          <cell r="N177">
            <v>0</v>
          </cell>
          <cell r="O177">
            <v>86.833333333333329</v>
          </cell>
          <cell r="P177">
            <v>61</v>
          </cell>
          <cell r="Q177">
            <v>25.833333333333329</v>
          </cell>
        </row>
        <row r="178">
          <cell r="A178">
            <v>2516</v>
          </cell>
          <cell r="B178" t="str">
            <v>10EMP2516</v>
          </cell>
          <cell r="C178" t="str">
            <v>Rajesh Kumar Choudhary</v>
          </cell>
          <cell r="D178" t="str">
            <v>Fabricator</v>
          </cell>
          <cell r="E178" t="str">
            <v>Worker</v>
          </cell>
          <cell r="F178" t="str">
            <v>Eurocon Building Induastries LLC</v>
          </cell>
          <cell r="G178" t="str">
            <v>Mulk Manufacture &amp; Retail LLC</v>
          </cell>
          <cell r="H178" t="str">
            <v>Mulk Manufacture &amp; Retail LLC</v>
          </cell>
          <cell r="I178">
            <v>44599</v>
          </cell>
          <cell r="J178">
            <v>1058</v>
          </cell>
          <cell r="K178">
            <v>1034</v>
          </cell>
          <cell r="L178">
            <v>45657</v>
          </cell>
          <cell r="M178">
            <v>24</v>
          </cell>
          <cell r="N178">
            <v>0</v>
          </cell>
          <cell r="O178">
            <v>86.166666666666671</v>
          </cell>
          <cell r="P178">
            <v>60</v>
          </cell>
          <cell r="Q178">
            <v>26.166666666666671</v>
          </cell>
        </row>
        <row r="179">
          <cell r="A179">
            <v>2517</v>
          </cell>
          <cell r="B179" t="str">
            <v>10EMP2517</v>
          </cell>
          <cell r="C179" t="str">
            <v>Aman Ullah</v>
          </cell>
          <cell r="D179" t="str">
            <v>Helper</v>
          </cell>
          <cell r="E179" t="str">
            <v>Worker</v>
          </cell>
          <cell r="F179" t="str">
            <v>Metalplast Industries FZE</v>
          </cell>
          <cell r="G179" t="str">
            <v>Metalplast</v>
          </cell>
          <cell r="H179" t="str">
            <v>Metalplast Production</v>
          </cell>
          <cell r="I179">
            <v>44603</v>
          </cell>
          <cell r="J179">
            <v>1054</v>
          </cell>
          <cell r="K179">
            <v>1026</v>
          </cell>
          <cell r="L179">
            <v>45657</v>
          </cell>
          <cell r="M179">
            <v>13</v>
          </cell>
          <cell r="N179">
            <v>15</v>
          </cell>
          <cell r="O179">
            <v>85.5</v>
          </cell>
          <cell r="P179">
            <v>0</v>
          </cell>
          <cell r="Q179">
            <v>85.5</v>
          </cell>
        </row>
        <row r="180">
          <cell r="A180">
            <v>2518</v>
          </cell>
          <cell r="B180" t="str">
            <v>10EMP2518</v>
          </cell>
          <cell r="C180" t="str">
            <v>Md Montu Khan</v>
          </cell>
          <cell r="D180" t="str">
            <v>Helper</v>
          </cell>
          <cell r="E180" t="str">
            <v>Worker</v>
          </cell>
          <cell r="F180" t="str">
            <v>Metalplast Industries FZE</v>
          </cell>
          <cell r="G180" t="str">
            <v>Metalplast</v>
          </cell>
          <cell r="H180" t="str">
            <v>Metalplast Production</v>
          </cell>
          <cell r="I180">
            <v>44642</v>
          </cell>
          <cell r="J180">
            <v>1015</v>
          </cell>
          <cell r="K180">
            <v>1014</v>
          </cell>
          <cell r="L180">
            <v>45657</v>
          </cell>
          <cell r="M180">
            <v>1</v>
          </cell>
          <cell r="N180">
            <v>0</v>
          </cell>
          <cell r="O180">
            <v>84.5</v>
          </cell>
          <cell r="P180">
            <v>60</v>
          </cell>
          <cell r="Q180">
            <v>24.5</v>
          </cell>
        </row>
        <row r="181">
          <cell r="A181">
            <v>2520</v>
          </cell>
          <cell r="B181" t="str">
            <v>10EMP2520</v>
          </cell>
          <cell r="C181" t="str">
            <v>Salman Qureshi Mohammed</v>
          </cell>
          <cell r="D181" t="str">
            <v>Security Guard</v>
          </cell>
          <cell r="E181" t="str">
            <v>Support Staff</v>
          </cell>
          <cell r="F181" t="str">
            <v>Alubond Middle East FZC</v>
          </cell>
          <cell r="G181" t="str">
            <v>Eurocon Service Dpt</v>
          </cell>
          <cell r="H181" t="str">
            <v>M/H Security</v>
          </cell>
          <cell r="I181">
            <v>44610</v>
          </cell>
          <cell r="J181">
            <v>1047</v>
          </cell>
          <cell r="K181">
            <v>1048</v>
          </cell>
          <cell r="L181">
            <v>45657</v>
          </cell>
          <cell r="M181">
            <v>-1</v>
          </cell>
          <cell r="N181">
            <v>0</v>
          </cell>
          <cell r="O181">
            <v>87.333333333333329</v>
          </cell>
          <cell r="P181">
            <v>62</v>
          </cell>
          <cell r="Q181">
            <v>25.333333333333329</v>
          </cell>
        </row>
        <row r="182">
          <cell r="A182">
            <v>2521</v>
          </cell>
          <cell r="B182" t="str">
            <v>10EMP2521</v>
          </cell>
          <cell r="C182" t="str">
            <v>Bacha Khalid</v>
          </cell>
          <cell r="D182" t="str">
            <v>Driver-light &amp; Heavy Vehicle</v>
          </cell>
          <cell r="E182" t="str">
            <v>Support Staff</v>
          </cell>
          <cell r="F182" t="str">
            <v>Alubond Middle East FZC</v>
          </cell>
          <cell r="G182" t="str">
            <v>Supply Chain (Eurocon)</v>
          </cell>
          <cell r="H182" t="str">
            <v>Logistics</v>
          </cell>
          <cell r="I182">
            <v>44614</v>
          </cell>
          <cell r="J182">
            <v>1043</v>
          </cell>
          <cell r="K182">
            <v>1040</v>
          </cell>
          <cell r="L182">
            <v>45657</v>
          </cell>
          <cell r="M182">
            <v>3</v>
          </cell>
          <cell r="N182">
            <v>0</v>
          </cell>
          <cell r="O182">
            <v>86.666666666666671</v>
          </cell>
          <cell r="P182">
            <v>61</v>
          </cell>
          <cell r="Q182">
            <v>25.666666666666671</v>
          </cell>
        </row>
        <row r="183">
          <cell r="A183">
            <v>2522</v>
          </cell>
          <cell r="B183" t="str">
            <v>10EMP2522</v>
          </cell>
          <cell r="C183" t="str">
            <v>Sajidul Islam</v>
          </cell>
          <cell r="D183" t="str">
            <v>Janitor</v>
          </cell>
          <cell r="E183" t="str">
            <v>Worker</v>
          </cell>
          <cell r="F183" t="str">
            <v>Metalplast Industries FZE</v>
          </cell>
          <cell r="G183" t="str">
            <v>MH Shared Services</v>
          </cell>
          <cell r="H183" t="str">
            <v>Housekeeping</v>
          </cell>
          <cell r="I183">
            <v>44620</v>
          </cell>
          <cell r="J183">
            <v>1037</v>
          </cell>
          <cell r="K183">
            <v>1034</v>
          </cell>
          <cell r="L183">
            <v>45657</v>
          </cell>
          <cell r="M183">
            <v>3</v>
          </cell>
          <cell r="N183">
            <v>0</v>
          </cell>
          <cell r="O183">
            <v>86.166666666666671</v>
          </cell>
          <cell r="P183">
            <v>60</v>
          </cell>
          <cell r="Q183">
            <v>26.166666666666671</v>
          </cell>
        </row>
        <row r="184">
          <cell r="A184">
            <v>2523</v>
          </cell>
          <cell r="B184" t="str">
            <v>10EMP2523</v>
          </cell>
          <cell r="C184" t="str">
            <v>Anisur  Rahman</v>
          </cell>
          <cell r="D184" t="str">
            <v>Helper</v>
          </cell>
          <cell r="E184" t="str">
            <v>Worker</v>
          </cell>
          <cell r="F184" t="str">
            <v>Metalplast Industries FZE</v>
          </cell>
          <cell r="G184" t="str">
            <v>Metalplast</v>
          </cell>
          <cell r="H184" t="str">
            <v>Metalplast Production</v>
          </cell>
          <cell r="I184">
            <v>44636</v>
          </cell>
          <cell r="J184">
            <v>1021</v>
          </cell>
          <cell r="K184">
            <v>1021</v>
          </cell>
          <cell r="L184">
            <v>45657</v>
          </cell>
          <cell r="M184">
            <v>0</v>
          </cell>
          <cell r="N184">
            <v>0</v>
          </cell>
          <cell r="O184">
            <v>85.083333333333343</v>
          </cell>
          <cell r="P184">
            <v>60</v>
          </cell>
          <cell r="Q184">
            <v>25.083333333333343</v>
          </cell>
        </row>
        <row r="185">
          <cell r="A185">
            <v>2526</v>
          </cell>
          <cell r="B185" t="str">
            <v>10EMP2526</v>
          </cell>
          <cell r="C185" t="str">
            <v>Shahid Rafique</v>
          </cell>
          <cell r="D185" t="str">
            <v>Assistant Safety Officer</v>
          </cell>
          <cell r="E185" t="str">
            <v>Staff</v>
          </cell>
          <cell r="F185" t="str">
            <v>Alubond Middle East FZC</v>
          </cell>
          <cell r="G185" t="str">
            <v>MH Shared Services</v>
          </cell>
          <cell r="H185" t="str">
            <v>Health &amp; Safety</v>
          </cell>
          <cell r="I185">
            <v>44610</v>
          </cell>
          <cell r="J185">
            <v>1047</v>
          </cell>
          <cell r="K185">
            <v>1041</v>
          </cell>
          <cell r="L185">
            <v>45657</v>
          </cell>
          <cell r="M185">
            <v>6</v>
          </cell>
          <cell r="N185">
            <v>0</v>
          </cell>
          <cell r="O185">
            <v>86.75</v>
          </cell>
          <cell r="P185">
            <v>77</v>
          </cell>
          <cell r="Q185">
            <v>9.75</v>
          </cell>
        </row>
        <row r="186">
          <cell r="A186">
            <v>2531</v>
          </cell>
          <cell r="B186" t="str">
            <v>10EMP2531</v>
          </cell>
          <cell r="C186" t="str">
            <v>Md Nurjamal Sardar</v>
          </cell>
          <cell r="D186" t="str">
            <v>Helper</v>
          </cell>
          <cell r="E186" t="str">
            <v>Worker</v>
          </cell>
          <cell r="F186" t="str">
            <v>Metalplast Industries FZE</v>
          </cell>
          <cell r="G186" t="str">
            <v>Metalplast</v>
          </cell>
          <cell r="H186" t="str">
            <v>Metalplast Production</v>
          </cell>
          <cell r="I186">
            <v>44642</v>
          </cell>
          <cell r="J186">
            <v>1015</v>
          </cell>
          <cell r="K186">
            <v>996</v>
          </cell>
          <cell r="L186">
            <v>45657</v>
          </cell>
          <cell r="M186">
            <v>19</v>
          </cell>
          <cell r="N186">
            <v>0</v>
          </cell>
          <cell r="O186">
            <v>83</v>
          </cell>
          <cell r="P186">
            <v>61</v>
          </cell>
          <cell r="Q186">
            <v>22</v>
          </cell>
        </row>
        <row r="187">
          <cell r="A187">
            <v>2534</v>
          </cell>
          <cell r="B187" t="str">
            <v>10EMP2534</v>
          </cell>
          <cell r="C187" t="str">
            <v>Alomgir Md Huqum Ali</v>
          </cell>
          <cell r="D187" t="str">
            <v>Helper</v>
          </cell>
          <cell r="E187" t="str">
            <v>Worker</v>
          </cell>
          <cell r="F187" t="str">
            <v>Metalplast Industries FZE</v>
          </cell>
          <cell r="G187" t="str">
            <v>ACP</v>
          </cell>
          <cell r="H187" t="str">
            <v>Production (ACP)</v>
          </cell>
          <cell r="I187">
            <v>44649</v>
          </cell>
          <cell r="J187">
            <v>1008</v>
          </cell>
          <cell r="K187">
            <v>988</v>
          </cell>
          <cell r="L187">
            <v>45657</v>
          </cell>
          <cell r="M187">
            <v>-1</v>
          </cell>
          <cell r="N187">
            <v>21</v>
          </cell>
          <cell r="O187">
            <v>82.333333333333329</v>
          </cell>
          <cell r="P187">
            <v>60</v>
          </cell>
          <cell r="Q187">
            <v>22.333333333333329</v>
          </cell>
        </row>
        <row r="188">
          <cell r="A188">
            <v>2535</v>
          </cell>
          <cell r="B188" t="str">
            <v>10EMP2535</v>
          </cell>
          <cell r="C188" t="str">
            <v>Abul Hossain</v>
          </cell>
          <cell r="D188" t="str">
            <v>Helper</v>
          </cell>
          <cell r="E188" t="str">
            <v>Worker</v>
          </cell>
          <cell r="F188" t="str">
            <v>Metalplast Industries FZE</v>
          </cell>
          <cell r="G188" t="str">
            <v>ACP</v>
          </cell>
          <cell r="H188" t="str">
            <v>Production (ACP)</v>
          </cell>
          <cell r="I188">
            <v>44649</v>
          </cell>
          <cell r="J188">
            <v>1008</v>
          </cell>
          <cell r="K188">
            <v>1008</v>
          </cell>
          <cell r="L188">
            <v>45657</v>
          </cell>
          <cell r="M188">
            <v>0</v>
          </cell>
          <cell r="N188">
            <v>0</v>
          </cell>
          <cell r="O188">
            <v>84</v>
          </cell>
          <cell r="P188">
            <v>0</v>
          </cell>
          <cell r="Q188">
            <v>84</v>
          </cell>
        </row>
        <row r="189">
          <cell r="A189">
            <v>2536</v>
          </cell>
          <cell r="B189" t="str">
            <v>10EMP2536</v>
          </cell>
          <cell r="C189" t="str">
            <v>Md Shahin</v>
          </cell>
          <cell r="D189" t="str">
            <v>Helper</v>
          </cell>
          <cell r="E189" t="str">
            <v>Worker</v>
          </cell>
          <cell r="F189" t="str">
            <v>Metalplast Industries FZE</v>
          </cell>
          <cell r="G189" t="str">
            <v>ACP</v>
          </cell>
          <cell r="H189" t="str">
            <v>Production (ACP)</v>
          </cell>
          <cell r="I189">
            <v>44649</v>
          </cell>
          <cell r="J189">
            <v>1008</v>
          </cell>
          <cell r="K189">
            <v>1008</v>
          </cell>
          <cell r="L189">
            <v>45657</v>
          </cell>
          <cell r="M189">
            <v>0</v>
          </cell>
          <cell r="N189">
            <v>0</v>
          </cell>
          <cell r="O189">
            <v>84</v>
          </cell>
          <cell r="P189">
            <v>60</v>
          </cell>
          <cell r="Q189">
            <v>24</v>
          </cell>
        </row>
        <row r="190">
          <cell r="A190">
            <v>2537</v>
          </cell>
          <cell r="B190" t="str">
            <v>10EMP2537</v>
          </cell>
          <cell r="C190" t="str">
            <v>Rasel Ali Sha</v>
          </cell>
          <cell r="D190" t="str">
            <v>Helper</v>
          </cell>
          <cell r="E190" t="str">
            <v>Worker</v>
          </cell>
          <cell r="F190" t="str">
            <v>Metalplast Industries FZE</v>
          </cell>
          <cell r="G190" t="str">
            <v>Metalplast</v>
          </cell>
          <cell r="H190" t="str">
            <v>Metalplast Production</v>
          </cell>
          <cell r="I190">
            <v>44656</v>
          </cell>
          <cell r="J190">
            <v>1001</v>
          </cell>
          <cell r="K190">
            <v>1001</v>
          </cell>
          <cell r="L190">
            <v>45657</v>
          </cell>
          <cell r="M190">
            <v>0</v>
          </cell>
          <cell r="N190">
            <v>0</v>
          </cell>
          <cell r="O190">
            <v>83.416666666666657</v>
          </cell>
          <cell r="P190">
            <v>62</v>
          </cell>
          <cell r="Q190">
            <v>21.416666666666657</v>
          </cell>
        </row>
        <row r="191">
          <cell r="A191">
            <v>2538</v>
          </cell>
          <cell r="B191" t="str">
            <v>10EMP2538</v>
          </cell>
          <cell r="C191" t="str">
            <v>Rasel Iman Hossain</v>
          </cell>
          <cell r="D191" t="str">
            <v>Helper</v>
          </cell>
          <cell r="E191" t="str">
            <v>Worker</v>
          </cell>
          <cell r="F191" t="str">
            <v>Metalplast Industries FZE</v>
          </cell>
          <cell r="G191" t="str">
            <v>Metalplast</v>
          </cell>
          <cell r="H191" t="str">
            <v>Metalplast Production</v>
          </cell>
          <cell r="I191">
            <v>44656</v>
          </cell>
          <cell r="J191">
            <v>1001</v>
          </cell>
          <cell r="K191">
            <v>1001</v>
          </cell>
          <cell r="L191">
            <v>45657</v>
          </cell>
          <cell r="M191">
            <v>0</v>
          </cell>
          <cell r="N191">
            <v>0</v>
          </cell>
          <cell r="O191">
            <v>83.416666666666657</v>
          </cell>
          <cell r="P191">
            <v>0</v>
          </cell>
          <cell r="Q191">
            <v>83.416666666666657</v>
          </cell>
        </row>
        <row r="192">
          <cell r="A192">
            <v>2539</v>
          </cell>
          <cell r="B192" t="str">
            <v>10EMP2539</v>
          </cell>
          <cell r="C192" t="str">
            <v>Awais Ali</v>
          </cell>
          <cell r="D192" t="str">
            <v>Helper</v>
          </cell>
          <cell r="E192" t="str">
            <v>Worker</v>
          </cell>
          <cell r="F192" t="str">
            <v>Metalplast Industries FZE</v>
          </cell>
          <cell r="G192" t="str">
            <v>ACP</v>
          </cell>
          <cell r="H192" t="str">
            <v>Production (ACP)</v>
          </cell>
          <cell r="I192">
            <v>44656</v>
          </cell>
          <cell r="J192">
            <v>1001</v>
          </cell>
          <cell r="K192">
            <v>989</v>
          </cell>
          <cell r="L192">
            <v>45657</v>
          </cell>
          <cell r="M192">
            <v>12</v>
          </cell>
          <cell r="N192">
            <v>0</v>
          </cell>
          <cell r="O192">
            <v>82.416666666666671</v>
          </cell>
          <cell r="P192">
            <v>62</v>
          </cell>
          <cell r="Q192">
            <v>20.416666666666671</v>
          </cell>
        </row>
        <row r="193">
          <cell r="A193">
            <v>2540</v>
          </cell>
          <cell r="B193" t="str">
            <v>10EMP2540</v>
          </cell>
          <cell r="C193" t="str">
            <v>Md Amir Ali</v>
          </cell>
          <cell r="D193" t="str">
            <v>Helper</v>
          </cell>
          <cell r="E193" t="str">
            <v>Worker</v>
          </cell>
          <cell r="F193" t="str">
            <v>Metalplast Industries FZE</v>
          </cell>
          <cell r="G193" t="str">
            <v>ACP</v>
          </cell>
          <cell r="H193" t="str">
            <v>Production (ACP)</v>
          </cell>
          <cell r="I193">
            <v>44664</v>
          </cell>
          <cell r="J193">
            <v>993</v>
          </cell>
          <cell r="K193">
            <v>904</v>
          </cell>
          <cell r="L193">
            <v>45657</v>
          </cell>
          <cell r="M193">
            <v>89</v>
          </cell>
          <cell r="N193">
            <v>0</v>
          </cell>
          <cell r="O193">
            <v>75.333333333333329</v>
          </cell>
          <cell r="P193">
            <v>30</v>
          </cell>
          <cell r="Q193">
            <v>45.333333333333329</v>
          </cell>
        </row>
        <row r="194">
          <cell r="A194">
            <v>2542</v>
          </cell>
          <cell r="B194" t="str">
            <v>10EMP2542</v>
          </cell>
          <cell r="C194" t="str">
            <v>Lokman Madbor</v>
          </cell>
          <cell r="D194" t="str">
            <v>Helper</v>
          </cell>
          <cell r="E194" t="str">
            <v>Worker</v>
          </cell>
          <cell r="F194" t="str">
            <v>Metalplast Industries FZE</v>
          </cell>
          <cell r="G194" t="str">
            <v>ACP</v>
          </cell>
          <cell r="H194" t="str">
            <v>Production (ACP)</v>
          </cell>
          <cell r="I194">
            <v>44664</v>
          </cell>
          <cell r="J194">
            <v>993</v>
          </cell>
          <cell r="K194">
            <v>993</v>
          </cell>
          <cell r="L194">
            <v>45657</v>
          </cell>
          <cell r="M194">
            <v>0</v>
          </cell>
          <cell r="N194">
            <v>0</v>
          </cell>
          <cell r="O194">
            <v>82.75</v>
          </cell>
          <cell r="P194">
            <v>0</v>
          </cell>
          <cell r="Q194">
            <v>82.75</v>
          </cell>
        </row>
        <row r="195">
          <cell r="A195">
            <v>2543</v>
          </cell>
          <cell r="B195" t="str">
            <v>10EMP2543</v>
          </cell>
          <cell r="C195" t="str">
            <v>Md Ali Hossan Shikder</v>
          </cell>
          <cell r="D195" t="str">
            <v>Helper</v>
          </cell>
          <cell r="E195" t="str">
            <v>Worker</v>
          </cell>
          <cell r="F195" t="str">
            <v>Metalplast Industries FZE</v>
          </cell>
          <cell r="G195" t="str">
            <v>Metalplast</v>
          </cell>
          <cell r="H195" t="str">
            <v>Metalplast Production</v>
          </cell>
          <cell r="I195">
            <v>44671</v>
          </cell>
          <cell r="J195">
            <v>986</v>
          </cell>
          <cell r="K195">
            <v>946</v>
          </cell>
          <cell r="L195">
            <v>45657</v>
          </cell>
          <cell r="M195">
            <v>40</v>
          </cell>
          <cell r="N195">
            <v>0</v>
          </cell>
          <cell r="O195">
            <v>78.833333333333329</v>
          </cell>
          <cell r="P195">
            <v>60</v>
          </cell>
          <cell r="Q195">
            <v>18.833333333333329</v>
          </cell>
        </row>
        <row r="196">
          <cell r="A196">
            <v>2545</v>
          </cell>
          <cell r="B196" t="str">
            <v>10EMP2545</v>
          </cell>
          <cell r="C196" t="str">
            <v>Mohammad Jamal Badiyar</v>
          </cell>
          <cell r="D196" t="str">
            <v>Draftsman Cum Coordinator</v>
          </cell>
          <cell r="E196" t="str">
            <v>Staff</v>
          </cell>
          <cell r="F196" t="str">
            <v>Alubond Middle East FZC</v>
          </cell>
          <cell r="G196" t="str">
            <v>Mulk Manufacture &amp; Retail LLC</v>
          </cell>
          <cell r="H196" t="str">
            <v>Mulk Manufacture &amp; Retail LLC</v>
          </cell>
          <cell r="I196">
            <v>44671</v>
          </cell>
          <cell r="J196">
            <v>986</v>
          </cell>
          <cell r="K196">
            <v>975</v>
          </cell>
          <cell r="L196">
            <v>45657</v>
          </cell>
          <cell r="M196">
            <v>11</v>
          </cell>
          <cell r="N196">
            <v>0</v>
          </cell>
          <cell r="O196">
            <v>81.25</v>
          </cell>
          <cell r="P196">
            <v>41</v>
          </cell>
          <cell r="Q196">
            <v>40.25</v>
          </cell>
        </row>
        <row r="197">
          <cell r="A197">
            <v>2546</v>
          </cell>
          <cell r="B197" t="str">
            <v>10EMP2546</v>
          </cell>
          <cell r="C197" t="str">
            <v>Mohammed Liton</v>
          </cell>
          <cell r="D197" t="str">
            <v>Helper</v>
          </cell>
          <cell r="E197" t="str">
            <v>Worker</v>
          </cell>
          <cell r="F197" t="str">
            <v>Metalplast Industries FZE</v>
          </cell>
          <cell r="G197" t="str">
            <v>Plant Maintenance</v>
          </cell>
          <cell r="H197" t="str">
            <v>Maintenance (CCL)</v>
          </cell>
          <cell r="I197">
            <v>44687</v>
          </cell>
          <cell r="J197">
            <v>970</v>
          </cell>
          <cell r="K197">
            <v>970</v>
          </cell>
          <cell r="L197">
            <v>45657</v>
          </cell>
          <cell r="M197">
            <v>0</v>
          </cell>
          <cell r="N197">
            <v>0</v>
          </cell>
          <cell r="O197">
            <v>80.833333333333343</v>
          </cell>
          <cell r="P197">
            <v>61</v>
          </cell>
          <cell r="Q197">
            <v>19.833333333333343</v>
          </cell>
        </row>
        <row r="198">
          <cell r="A198">
            <v>2550</v>
          </cell>
          <cell r="B198" t="str">
            <v>10EMP2550</v>
          </cell>
          <cell r="C198" t="str">
            <v>Grasvin Grogory</v>
          </cell>
          <cell r="D198" t="str">
            <v>QC Incharge</v>
          </cell>
          <cell r="E198" t="str">
            <v>Staff</v>
          </cell>
          <cell r="F198" t="str">
            <v>Alubond Middle East FZC</v>
          </cell>
          <cell r="G198" t="str">
            <v>QC (Eurocon)</v>
          </cell>
          <cell r="H198" t="str">
            <v>QC CCL</v>
          </cell>
          <cell r="I198">
            <v>44708</v>
          </cell>
          <cell r="J198">
            <v>949</v>
          </cell>
          <cell r="K198">
            <v>947</v>
          </cell>
          <cell r="L198">
            <v>45657</v>
          </cell>
          <cell r="M198">
            <v>2</v>
          </cell>
          <cell r="N198">
            <v>0</v>
          </cell>
          <cell r="O198">
            <v>78.916666666666671</v>
          </cell>
          <cell r="P198">
            <v>24</v>
          </cell>
          <cell r="Q198">
            <v>54.916666666666671</v>
          </cell>
        </row>
        <row r="199">
          <cell r="A199">
            <v>2553</v>
          </cell>
          <cell r="B199" t="str">
            <v>10EMP2553</v>
          </cell>
          <cell r="C199" t="str">
            <v>Ripon Talukder</v>
          </cell>
          <cell r="D199" t="str">
            <v>Helper</v>
          </cell>
          <cell r="E199" t="str">
            <v>Worker</v>
          </cell>
          <cell r="F199" t="str">
            <v>Metalplast Industries FZE</v>
          </cell>
          <cell r="G199" t="str">
            <v>Metalplast</v>
          </cell>
          <cell r="H199" t="str">
            <v>Metalplast Production</v>
          </cell>
          <cell r="I199">
            <v>44719</v>
          </cell>
          <cell r="J199">
            <v>938</v>
          </cell>
          <cell r="K199">
            <v>938</v>
          </cell>
          <cell r="L199">
            <v>45657</v>
          </cell>
          <cell r="M199">
            <v>0</v>
          </cell>
          <cell r="N199">
            <v>0</v>
          </cell>
          <cell r="O199">
            <v>78.166666666666671</v>
          </cell>
          <cell r="P199">
            <v>60</v>
          </cell>
          <cell r="Q199">
            <v>18.166666666666671</v>
          </cell>
        </row>
        <row r="200">
          <cell r="A200">
            <v>2554</v>
          </cell>
          <cell r="B200" t="str">
            <v>10EMP2554</v>
          </cell>
          <cell r="C200" t="str">
            <v>Sheikh Shahid</v>
          </cell>
          <cell r="D200" t="str">
            <v>Helper</v>
          </cell>
          <cell r="E200" t="str">
            <v>Worker</v>
          </cell>
          <cell r="F200" t="str">
            <v>Metalplast Industries FZE</v>
          </cell>
          <cell r="G200" t="str">
            <v>Metalplast</v>
          </cell>
          <cell r="H200" t="str">
            <v>Metalplast Production</v>
          </cell>
          <cell r="I200">
            <v>44719</v>
          </cell>
          <cell r="J200">
            <v>938</v>
          </cell>
          <cell r="K200">
            <v>938</v>
          </cell>
          <cell r="L200">
            <v>45657</v>
          </cell>
          <cell r="M200">
            <v>0</v>
          </cell>
          <cell r="N200">
            <v>0</v>
          </cell>
          <cell r="O200">
            <v>78.166666666666671</v>
          </cell>
          <cell r="P200">
            <v>0</v>
          </cell>
          <cell r="Q200">
            <v>78.166666666666671</v>
          </cell>
        </row>
        <row r="201">
          <cell r="A201">
            <v>2555</v>
          </cell>
          <cell r="B201" t="str">
            <v>10EMP2555</v>
          </cell>
          <cell r="C201" t="str">
            <v>Md Sohan Molla</v>
          </cell>
          <cell r="D201" t="str">
            <v>Helper</v>
          </cell>
          <cell r="E201" t="str">
            <v>Worker</v>
          </cell>
          <cell r="F201" t="str">
            <v>Metalplast Industries FZE</v>
          </cell>
          <cell r="G201" t="str">
            <v>Metalplast</v>
          </cell>
          <cell r="H201" t="str">
            <v>Metalplast Production</v>
          </cell>
          <cell r="I201">
            <v>44719</v>
          </cell>
          <cell r="J201">
            <v>938</v>
          </cell>
          <cell r="K201">
            <v>938</v>
          </cell>
          <cell r="L201">
            <v>45657</v>
          </cell>
          <cell r="M201">
            <v>0</v>
          </cell>
          <cell r="N201">
            <v>0</v>
          </cell>
          <cell r="O201">
            <v>78.166666666666671</v>
          </cell>
          <cell r="P201">
            <v>60</v>
          </cell>
          <cell r="Q201">
            <v>18.166666666666671</v>
          </cell>
        </row>
        <row r="202">
          <cell r="A202">
            <v>2556</v>
          </cell>
          <cell r="B202" t="str">
            <v>10EMP2556</v>
          </cell>
          <cell r="C202" t="str">
            <v>Pritish Ghosh</v>
          </cell>
          <cell r="D202" t="str">
            <v>BIM LGS Specialist</v>
          </cell>
          <cell r="E202" t="str">
            <v>Staff</v>
          </cell>
          <cell r="F202" t="str">
            <v>Alubond Middle East FZC</v>
          </cell>
          <cell r="G202" t="str">
            <v>Mulk Manufacture &amp; Retail LLC</v>
          </cell>
          <cell r="H202" t="str">
            <v>Mulk Manufacture &amp; Retail LLC</v>
          </cell>
          <cell r="I202">
            <v>44721</v>
          </cell>
          <cell r="J202">
            <v>936</v>
          </cell>
          <cell r="K202">
            <v>936</v>
          </cell>
          <cell r="L202">
            <v>45657</v>
          </cell>
          <cell r="M202">
            <v>0</v>
          </cell>
          <cell r="N202">
            <v>0</v>
          </cell>
          <cell r="O202">
            <v>78</v>
          </cell>
          <cell r="P202">
            <v>13</v>
          </cell>
          <cell r="Q202">
            <v>65</v>
          </cell>
        </row>
        <row r="203">
          <cell r="A203">
            <v>2558</v>
          </cell>
          <cell r="B203" t="str">
            <v>10EMP2558</v>
          </cell>
          <cell r="C203" t="str">
            <v xml:space="preserve">Sowrab Mia </v>
          </cell>
          <cell r="D203" t="str">
            <v>Helper</v>
          </cell>
          <cell r="E203" t="str">
            <v>Worker</v>
          </cell>
          <cell r="F203" t="str">
            <v>Metalplast Industries FZE</v>
          </cell>
          <cell r="G203" t="str">
            <v>Metalplast</v>
          </cell>
          <cell r="H203" t="str">
            <v>Metalplast Production</v>
          </cell>
          <cell r="I203">
            <v>44729</v>
          </cell>
          <cell r="J203">
            <v>928</v>
          </cell>
          <cell r="K203">
            <v>928</v>
          </cell>
          <cell r="L203">
            <v>45657</v>
          </cell>
          <cell r="M203">
            <v>0</v>
          </cell>
          <cell r="N203">
            <v>0</v>
          </cell>
          <cell r="O203">
            <v>77.333333333333343</v>
          </cell>
          <cell r="P203">
            <v>0</v>
          </cell>
          <cell r="Q203">
            <v>77.333333333333343</v>
          </cell>
        </row>
        <row r="204">
          <cell r="A204">
            <v>2559</v>
          </cell>
          <cell r="B204" t="str">
            <v>10EMP2559</v>
          </cell>
          <cell r="C204" t="str">
            <v>Vikki Kumar</v>
          </cell>
          <cell r="D204" t="str">
            <v>Operator</v>
          </cell>
          <cell r="E204" t="str">
            <v>Worker</v>
          </cell>
          <cell r="F204" t="str">
            <v>Alubond Middle East FZC</v>
          </cell>
          <cell r="G204" t="str">
            <v>ACP</v>
          </cell>
          <cell r="H204" t="str">
            <v>Production (ACP)</v>
          </cell>
          <cell r="I204">
            <v>44725</v>
          </cell>
          <cell r="J204">
            <v>932</v>
          </cell>
          <cell r="K204">
            <v>932</v>
          </cell>
          <cell r="L204">
            <v>45657</v>
          </cell>
          <cell r="M204">
            <v>0</v>
          </cell>
          <cell r="N204">
            <v>0</v>
          </cell>
          <cell r="O204">
            <v>77.666666666666671</v>
          </cell>
          <cell r="P204">
            <v>60</v>
          </cell>
          <cell r="Q204">
            <v>17.666666666666671</v>
          </cell>
        </row>
        <row r="205">
          <cell r="A205">
            <v>2565</v>
          </cell>
          <cell r="B205" t="str">
            <v>10EMP2565</v>
          </cell>
          <cell r="C205" t="str">
            <v>Rajkumar Ganesan</v>
          </cell>
          <cell r="D205" t="str">
            <v>Storekeeper &amp; logistics Coordinator</v>
          </cell>
          <cell r="E205" t="str">
            <v>Staff</v>
          </cell>
          <cell r="F205" t="str">
            <v>Metalplast Industries FZE</v>
          </cell>
          <cell r="G205" t="str">
            <v>Mulk Manufacture &amp; Retail LLC</v>
          </cell>
          <cell r="H205" t="str">
            <v>Mulk Manufacture &amp; Retail LLC</v>
          </cell>
          <cell r="I205">
            <v>44761</v>
          </cell>
          <cell r="J205">
            <v>896</v>
          </cell>
          <cell r="K205">
            <v>878</v>
          </cell>
          <cell r="L205">
            <v>45657</v>
          </cell>
          <cell r="M205">
            <v>18</v>
          </cell>
          <cell r="N205">
            <v>0</v>
          </cell>
          <cell r="O205">
            <v>73.166666666666671</v>
          </cell>
          <cell r="P205">
            <v>59</v>
          </cell>
          <cell r="Q205">
            <v>14.166666666666671</v>
          </cell>
        </row>
        <row r="206">
          <cell r="A206">
            <v>2566</v>
          </cell>
          <cell r="B206" t="str">
            <v>10EMP2566</v>
          </cell>
          <cell r="C206" t="str">
            <v>Md Giasuddin Sardar</v>
          </cell>
          <cell r="D206" t="str">
            <v>Helper</v>
          </cell>
          <cell r="E206" t="str">
            <v>Worker</v>
          </cell>
          <cell r="F206" t="str">
            <v>Metalplast Industries FZE</v>
          </cell>
          <cell r="G206" t="str">
            <v>Metalplast</v>
          </cell>
          <cell r="H206" t="str">
            <v>Metalplast Production</v>
          </cell>
          <cell r="I206">
            <v>44761</v>
          </cell>
          <cell r="J206">
            <v>896</v>
          </cell>
          <cell r="K206">
            <v>896</v>
          </cell>
          <cell r="L206">
            <v>45657</v>
          </cell>
          <cell r="M206">
            <v>0</v>
          </cell>
          <cell r="N206">
            <v>0</v>
          </cell>
          <cell r="O206">
            <v>74.666666666666671</v>
          </cell>
          <cell r="P206">
            <v>60</v>
          </cell>
          <cell r="Q206">
            <v>14.666666666666671</v>
          </cell>
        </row>
        <row r="207">
          <cell r="A207">
            <v>2567</v>
          </cell>
          <cell r="B207" t="str">
            <v>10EMP2567</v>
          </cell>
          <cell r="C207" t="str">
            <v>Muhammad Imran Muhammad Akram</v>
          </cell>
          <cell r="D207" t="str">
            <v>Plumber</v>
          </cell>
          <cell r="E207" t="str">
            <v>Worker</v>
          </cell>
          <cell r="F207" t="str">
            <v>Alubond Middle East FZC</v>
          </cell>
          <cell r="G207" t="str">
            <v>CCL</v>
          </cell>
          <cell r="H207" t="str">
            <v>Maintenance  (ACP &amp; CCL)</v>
          </cell>
          <cell r="I207">
            <v>44768</v>
          </cell>
          <cell r="J207">
            <v>889</v>
          </cell>
          <cell r="K207">
            <v>884</v>
          </cell>
          <cell r="L207">
            <v>45657</v>
          </cell>
          <cell r="M207">
            <v>0</v>
          </cell>
          <cell r="N207">
            <v>5</v>
          </cell>
          <cell r="O207">
            <v>73.666666666666671</v>
          </cell>
          <cell r="P207">
            <v>0</v>
          </cell>
          <cell r="Q207">
            <v>73.666666666666671</v>
          </cell>
        </row>
        <row r="208">
          <cell r="A208">
            <v>2568</v>
          </cell>
          <cell r="B208" t="str">
            <v>10EMP2568</v>
          </cell>
          <cell r="C208" t="str">
            <v>Dinesh Kumar Bhardwaj</v>
          </cell>
          <cell r="D208" t="str">
            <v>Welder</v>
          </cell>
          <cell r="E208" t="str">
            <v>Worker</v>
          </cell>
          <cell r="F208" t="str">
            <v>Alubond Middle East FZC</v>
          </cell>
          <cell r="G208" t="str">
            <v>CCL</v>
          </cell>
          <cell r="H208" t="str">
            <v>Maintenance  (ACP &amp; CCL)</v>
          </cell>
          <cell r="I208">
            <v>44770</v>
          </cell>
          <cell r="J208">
            <v>887</v>
          </cell>
          <cell r="K208">
            <v>863</v>
          </cell>
          <cell r="L208">
            <v>45657</v>
          </cell>
          <cell r="M208">
            <v>0</v>
          </cell>
          <cell r="N208">
            <v>24</v>
          </cell>
          <cell r="O208">
            <v>71.916666666666657</v>
          </cell>
          <cell r="P208">
            <v>61</v>
          </cell>
          <cell r="Q208">
            <v>10.916666666666657</v>
          </cell>
        </row>
        <row r="209">
          <cell r="A209">
            <v>2570</v>
          </cell>
          <cell r="B209" t="str">
            <v>10EMP2570</v>
          </cell>
          <cell r="C209" t="str">
            <v>Shahzada Khan</v>
          </cell>
          <cell r="D209" t="str">
            <v>Fabricator</v>
          </cell>
          <cell r="E209" t="str">
            <v>Worker</v>
          </cell>
          <cell r="F209" t="str">
            <v>Metalplast Industries FZE</v>
          </cell>
          <cell r="G209" t="str">
            <v>Mulk Manufacture &amp; Retail LLC</v>
          </cell>
          <cell r="H209" t="str">
            <v>Mulk Manufacture &amp; Retail LLC</v>
          </cell>
          <cell r="I209">
            <v>44778</v>
          </cell>
          <cell r="J209">
            <v>879</v>
          </cell>
          <cell r="K209">
            <v>859</v>
          </cell>
          <cell r="L209">
            <v>45657</v>
          </cell>
          <cell r="M209">
            <v>4</v>
          </cell>
          <cell r="N209">
            <v>16</v>
          </cell>
          <cell r="O209">
            <v>71.583333333333329</v>
          </cell>
          <cell r="P209">
            <v>61</v>
          </cell>
          <cell r="Q209">
            <v>10.583333333333329</v>
          </cell>
        </row>
        <row r="210">
          <cell r="A210">
            <v>2573</v>
          </cell>
          <cell r="B210" t="str">
            <v>10EMP2573</v>
          </cell>
          <cell r="C210" t="str">
            <v>Suresh Badhan Mistree</v>
          </cell>
          <cell r="D210" t="str">
            <v>Supervisor/Team Leader</v>
          </cell>
          <cell r="E210" t="str">
            <v>Support Staff</v>
          </cell>
          <cell r="F210" t="str">
            <v>Metalplast Industries FZE</v>
          </cell>
          <cell r="G210" t="str">
            <v>Mulk Manufacture &amp; Retail LLC</v>
          </cell>
          <cell r="H210" t="str">
            <v>Mulk Manufacture &amp; Retail LLC</v>
          </cell>
          <cell r="I210">
            <v>44774</v>
          </cell>
          <cell r="J210">
            <v>883</v>
          </cell>
          <cell r="K210">
            <v>883</v>
          </cell>
          <cell r="L210">
            <v>45657</v>
          </cell>
          <cell r="M210">
            <v>0</v>
          </cell>
          <cell r="N210">
            <v>0</v>
          </cell>
          <cell r="O210">
            <v>73.583333333333343</v>
          </cell>
          <cell r="P210">
            <v>53</v>
          </cell>
          <cell r="Q210">
            <v>20.583333333333343</v>
          </cell>
        </row>
        <row r="211">
          <cell r="A211">
            <v>2575</v>
          </cell>
          <cell r="B211" t="str">
            <v>10EMP2575</v>
          </cell>
          <cell r="C211" t="str">
            <v>Ahmed Abdul Latheef Nijar</v>
          </cell>
          <cell r="D211" t="str">
            <v>Logistics Manager</v>
          </cell>
          <cell r="E211" t="str">
            <v>Staff</v>
          </cell>
          <cell r="F211" t="str">
            <v>Alubond Middle East FZC</v>
          </cell>
          <cell r="G211" t="str">
            <v>Supply Chain (Eurocon)</v>
          </cell>
          <cell r="H211" t="str">
            <v>Logistics</v>
          </cell>
          <cell r="I211">
            <v>44790</v>
          </cell>
          <cell r="J211">
            <v>867</v>
          </cell>
          <cell r="K211">
            <v>860</v>
          </cell>
          <cell r="L211">
            <v>45657</v>
          </cell>
          <cell r="M211">
            <v>7</v>
          </cell>
          <cell r="N211">
            <v>0</v>
          </cell>
          <cell r="O211">
            <v>71.666666666666671</v>
          </cell>
          <cell r="P211">
            <v>23</v>
          </cell>
          <cell r="Q211">
            <v>48.666666666666671</v>
          </cell>
        </row>
        <row r="212">
          <cell r="A212">
            <v>2580</v>
          </cell>
          <cell r="B212" t="str">
            <v>10EMP2580</v>
          </cell>
          <cell r="C212" t="str">
            <v>Nicolo Montesi</v>
          </cell>
          <cell r="D212" t="str">
            <v>Project Manager &amp; Design leader</v>
          </cell>
          <cell r="E212" t="str">
            <v>Staff</v>
          </cell>
          <cell r="F212" t="str">
            <v>ZCC</v>
          </cell>
          <cell r="G212" t="str">
            <v>ZCC</v>
          </cell>
          <cell r="H212" t="str">
            <v>ZCC</v>
          </cell>
          <cell r="I212">
            <v>44809</v>
          </cell>
          <cell r="J212">
            <v>848</v>
          </cell>
          <cell r="K212">
            <v>843</v>
          </cell>
          <cell r="L212">
            <v>45657</v>
          </cell>
          <cell r="M212">
            <v>5</v>
          </cell>
          <cell r="N212">
            <v>0</v>
          </cell>
          <cell r="O212">
            <v>70.25</v>
          </cell>
          <cell r="P212">
            <v>29</v>
          </cell>
          <cell r="Q212">
            <v>41.25</v>
          </cell>
        </row>
        <row r="213">
          <cell r="A213">
            <v>2582</v>
          </cell>
          <cell r="B213" t="str">
            <v>10EMP2582</v>
          </cell>
          <cell r="C213" t="str">
            <v xml:space="preserve">Niyas Mohamed Deen Mohamed </v>
          </cell>
          <cell r="D213" t="str">
            <v>Electrician /Fabricator</v>
          </cell>
          <cell r="E213" t="str">
            <v>Worker</v>
          </cell>
          <cell r="F213" t="str">
            <v>Metalplast Industries FZE</v>
          </cell>
          <cell r="G213" t="str">
            <v>Mulk Manufacture &amp; Retail LLC</v>
          </cell>
          <cell r="H213" t="str">
            <v>Mulk Manufacture &amp; Retail LLC</v>
          </cell>
          <cell r="I213">
            <v>44845</v>
          </cell>
          <cell r="J213">
            <v>812</v>
          </cell>
          <cell r="K213">
            <v>795</v>
          </cell>
          <cell r="L213">
            <v>45657</v>
          </cell>
          <cell r="M213">
            <v>17</v>
          </cell>
          <cell r="N213">
            <v>0</v>
          </cell>
          <cell r="O213">
            <v>66.25</v>
          </cell>
          <cell r="P213">
            <v>31</v>
          </cell>
          <cell r="Q213">
            <v>35.25</v>
          </cell>
        </row>
        <row r="214">
          <cell r="A214">
            <v>2583</v>
          </cell>
          <cell r="B214" t="str">
            <v>10EMP2583</v>
          </cell>
          <cell r="C214" t="str">
            <v>Thivas Thilakan</v>
          </cell>
          <cell r="D214" t="str">
            <v>Assistant   Manager - HR</v>
          </cell>
          <cell r="E214" t="str">
            <v>Staff</v>
          </cell>
          <cell r="F214" t="str">
            <v>MH Shared Services</v>
          </cell>
          <cell r="G214" t="str">
            <v>MH Shared Services</v>
          </cell>
          <cell r="H214" t="str">
            <v>HR &amp; Admin</v>
          </cell>
          <cell r="I214">
            <v>44847</v>
          </cell>
          <cell r="J214">
            <v>810</v>
          </cell>
          <cell r="K214">
            <v>810</v>
          </cell>
          <cell r="L214">
            <v>45657</v>
          </cell>
          <cell r="M214">
            <v>0</v>
          </cell>
          <cell r="N214">
            <v>0</v>
          </cell>
          <cell r="O214">
            <v>67.5</v>
          </cell>
          <cell r="P214">
            <v>47</v>
          </cell>
          <cell r="Q214">
            <v>20.5</v>
          </cell>
        </row>
        <row r="215">
          <cell r="A215">
            <v>2589</v>
          </cell>
          <cell r="B215" t="str">
            <v>10EMP2589</v>
          </cell>
          <cell r="C215" t="str">
            <v>Mohammed Sameer Sageer Ahmed</v>
          </cell>
          <cell r="D215" t="str">
            <v>Fabricator ( Windows &amp; LGS)</v>
          </cell>
          <cell r="E215" t="str">
            <v>Worker</v>
          </cell>
          <cell r="F215" t="str">
            <v>Metalplast Industries FZE</v>
          </cell>
          <cell r="G215" t="str">
            <v>Mulk Manufacture &amp; Retail LLC</v>
          </cell>
          <cell r="H215" t="str">
            <v>Mulk Manufacture &amp; Retail LLC</v>
          </cell>
          <cell r="I215">
            <v>44866</v>
          </cell>
          <cell r="J215">
            <v>791</v>
          </cell>
          <cell r="K215">
            <v>784</v>
          </cell>
          <cell r="L215">
            <v>45657</v>
          </cell>
          <cell r="M215">
            <v>7</v>
          </cell>
          <cell r="N215">
            <v>0</v>
          </cell>
          <cell r="O215">
            <v>65.333333333333329</v>
          </cell>
          <cell r="P215">
            <v>32</v>
          </cell>
          <cell r="Q215">
            <v>33.333333333333329</v>
          </cell>
        </row>
        <row r="216">
          <cell r="A216">
            <v>2590</v>
          </cell>
          <cell r="B216" t="str">
            <v>10EMP2590</v>
          </cell>
          <cell r="C216" t="str">
            <v>Priyanti Prabhat Tatke</v>
          </cell>
          <cell r="D216" t="str">
            <v>Purchase Officer</v>
          </cell>
          <cell r="E216" t="str">
            <v>Staff</v>
          </cell>
          <cell r="F216" t="str">
            <v>MH Shared Services</v>
          </cell>
          <cell r="G216" t="str">
            <v>Supply Chain - Purchase</v>
          </cell>
          <cell r="H216" t="str">
            <v>Purchase</v>
          </cell>
          <cell r="I216">
            <v>44881</v>
          </cell>
          <cell r="J216">
            <v>776</v>
          </cell>
          <cell r="K216">
            <v>776</v>
          </cell>
          <cell r="L216">
            <v>45657</v>
          </cell>
          <cell r="M216">
            <v>0</v>
          </cell>
          <cell r="N216">
            <v>0</v>
          </cell>
          <cell r="O216">
            <v>64.666666666666657</v>
          </cell>
          <cell r="P216">
            <v>30</v>
          </cell>
          <cell r="Q216">
            <v>34.666666666666657</v>
          </cell>
        </row>
        <row r="217">
          <cell r="A217">
            <v>2591</v>
          </cell>
          <cell r="B217" t="str">
            <v>10EMP2591</v>
          </cell>
          <cell r="C217" t="str">
            <v>Gedela Hari Prasad Reddy</v>
          </cell>
          <cell r="D217" t="str">
            <v>Graphic Designer/Video Editor</v>
          </cell>
          <cell r="E217" t="str">
            <v>Staff</v>
          </cell>
          <cell r="F217" t="str">
            <v>T Ten Sports Management FZCO</v>
          </cell>
          <cell r="G217" t="str">
            <v>T Ten Sports Management FZCO</v>
          </cell>
          <cell r="H217" t="str">
            <v>T Ten Sports Management FZCO</v>
          </cell>
          <cell r="I217">
            <v>44883</v>
          </cell>
          <cell r="J217">
            <v>774</v>
          </cell>
          <cell r="K217">
            <v>774</v>
          </cell>
          <cell r="L217">
            <v>45657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A218">
            <v>2594</v>
          </cell>
          <cell r="B218" t="str">
            <v>10EMP2594</v>
          </cell>
          <cell r="C218" t="str">
            <v>Naveed Shams Ur Rehman</v>
          </cell>
          <cell r="D218" t="str">
            <v>Supervisor</v>
          </cell>
          <cell r="E218" t="str">
            <v>Support Staff</v>
          </cell>
          <cell r="F218" t="str">
            <v>Metalplast Industries FZE</v>
          </cell>
          <cell r="G218" t="str">
            <v>Mulk Manufacture &amp; Retail LLC</v>
          </cell>
          <cell r="H218" t="str">
            <v>Mulk Manufacture &amp; Retail LLC</v>
          </cell>
          <cell r="I218">
            <v>44887</v>
          </cell>
          <cell r="J218">
            <v>770</v>
          </cell>
          <cell r="K218">
            <v>770</v>
          </cell>
          <cell r="L218">
            <v>45657</v>
          </cell>
          <cell r="M218">
            <v>0</v>
          </cell>
          <cell r="N218">
            <v>0</v>
          </cell>
          <cell r="O218">
            <v>64.166666666666671</v>
          </cell>
          <cell r="P218">
            <v>31</v>
          </cell>
          <cell r="Q218">
            <v>33.166666666666671</v>
          </cell>
        </row>
        <row r="219">
          <cell r="A219">
            <v>2595</v>
          </cell>
          <cell r="B219" t="str">
            <v>10EMP2595</v>
          </cell>
          <cell r="C219" t="str">
            <v>Nand Kishor Mahto</v>
          </cell>
          <cell r="D219" t="str">
            <v>Mason</v>
          </cell>
          <cell r="E219" t="str">
            <v>Worker</v>
          </cell>
          <cell r="F219" t="str">
            <v>Alubond Middle East FZC</v>
          </cell>
          <cell r="G219" t="str">
            <v>ACP</v>
          </cell>
          <cell r="H219" t="str">
            <v>Production (ACP)</v>
          </cell>
          <cell r="I219">
            <v>44901</v>
          </cell>
          <cell r="J219">
            <v>756</v>
          </cell>
          <cell r="K219">
            <v>756</v>
          </cell>
          <cell r="L219">
            <v>45657</v>
          </cell>
          <cell r="M219">
            <v>0</v>
          </cell>
          <cell r="N219">
            <v>0</v>
          </cell>
          <cell r="O219">
            <v>63</v>
          </cell>
          <cell r="P219">
            <v>0</v>
          </cell>
          <cell r="Q219">
            <v>63</v>
          </cell>
        </row>
        <row r="220">
          <cell r="A220">
            <v>2596</v>
          </cell>
          <cell r="B220" t="str">
            <v>10EMP2596</v>
          </cell>
          <cell r="C220" t="str">
            <v>Sahid Ahamad</v>
          </cell>
          <cell r="D220" t="str">
            <v>Steel Fixer</v>
          </cell>
          <cell r="E220" t="str">
            <v>Worker</v>
          </cell>
          <cell r="F220" t="str">
            <v>Unicube</v>
          </cell>
          <cell r="G220" t="str">
            <v>Unicube</v>
          </cell>
          <cell r="H220" t="str">
            <v>Unicube</v>
          </cell>
          <cell r="I220">
            <v>44866</v>
          </cell>
          <cell r="J220">
            <v>791</v>
          </cell>
          <cell r="K220">
            <v>791</v>
          </cell>
          <cell r="L220">
            <v>45657</v>
          </cell>
          <cell r="M220">
            <v>0</v>
          </cell>
          <cell r="N220">
            <v>0</v>
          </cell>
          <cell r="O220">
            <v>65.916666666666671</v>
          </cell>
          <cell r="P220">
            <v>60</v>
          </cell>
          <cell r="Q220">
            <v>5.9166666666666714</v>
          </cell>
        </row>
        <row r="221">
          <cell r="A221">
            <v>2599</v>
          </cell>
          <cell r="B221" t="str">
            <v>10EMP2599</v>
          </cell>
          <cell r="C221" t="str">
            <v>Abdul Rahman</v>
          </cell>
          <cell r="D221" t="str">
            <v>Helper</v>
          </cell>
          <cell r="E221" t="str">
            <v>Worker</v>
          </cell>
          <cell r="F221" t="str">
            <v>Metalplast Industries FZE</v>
          </cell>
          <cell r="G221" t="str">
            <v>Mulk Manufacture &amp; Retail LLC</v>
          </cell>
          <cell r="H221" t="str">
            <v>Mulk Manufacture &amp; Retail LLC</v>
          </cell>
          <cell r="I221">
            <v>44872</v>
          </cell>
          <cell r="J221">
            <v>785</v>
          </cell>
          <cell r="K221">
            <v>785</v>
          </cell>
          <cell r="L221">
            <v>45657</v>
          </cell>
          <cell r="M221">
            <v>0</v>
          </cell>
          <cell r="N221">
            <v>0</v>
          </cell>
          <cell r="O221">
            <v>65.416666666666657</v>
          </cell>
          <cell r="P221">
            <v>0</v>
          </cell>
          <cell r="Q221">
            <v>65.416666666666657</v>
          </cell>
        </row>
        <row r="222">
          <cell r="A222">
            <v>2602</v>
          </cell>
          <cell r="B222" t="str">
            <v>10EMP2602</v>
          </cell>
          <cell r="C222" t="str">
            <v>Azharudeen Sidik Batcha</v>
          </cell>
          <cell r="D222" t="str">
            <v>Head - LGS Division</v>
          </cell>
          <cell r="E222" t="str">
            <v>Staff</v>
          </cell>
          <cell r="F222" t="str">
            <v>Unicube</v>
          </cell>
          <cell r="G222" t="str">
            <v>Unicube</v>
          </cell>
          <cell r="H222" t="str">
            <v>Unicube</v>
          </cell>
          <cell r="I222">
            <v>45001</v>
          </cell>
          <cell r="J222">
            <v>656</v>
          </cell>
          <cell r="K222">
            <v>650</v>
          </cell>
          <cell r="L222">
            <v>45657</v>
          </cell>
          <cell r="M222">
            <v>6</v>
          </cell>
          <cell r="N222">
            <v>0</v>
          </cell>
          <cell r="O222">
            <v>54.166666666666664</v>
          </cell>
          <cell r="P222">
            <v>26</v>
          </cell>
          <cell r="Q222">
            <v>28.166666666666664</v>
          </cell>
        </row>
        <row r="223">
          <cell r="A223">
            <v>2606</v>
          </cell>
          <cell r="B223" t="str">
            <v>10EMP2606</v>
          </cell>
          <cell r="C223" t="str">
            <v>Umair Ali Khan</v>
          </cell>
          <cell r="D223" t="str">
            <v>Sales Manager</v>
          </cell>
          <cell r="E223" t="str">
            <v>Staff</v>
          </cell>
          <cell r="F223" t="str">
            <v>MH Shared Services</v>
          </cell>
          <cell r="G223" t="str">
            <v>Sales &amp; Marketing</v>
          </cell>
          <cell r="H223" t="str">
            <v>Sales &amp; Marketing -KSA</v>
          </cell>
          <cell r="I223">
            <v>44423</v>
          </cell>
          <cell r="J223">
            <v>1234</v>
          </cell>
          <cell r="K223">
            <v>1234</v>
          </cell>
          <cell r="L223">
            <v>45657</v>
          </cell>
          <cell r="M223">
            <v>0</v>
          </cell>
          <cell r="N223">
            <v>0</v>
          </cell>
          <cell r="O223">
            <v>102.83333333333333</v>
          </cell>
          <cell r="P223">
            <v>55</v>
          </cell>
          <cell r="Q223">
            <v>47.833333333333329</v>
          </cell>
        </row>
        <row r="224">
          <cell r="A224">
            <v>2609</v>
          </cell>
          <cell r="B224" t="str">
            <v>10EMP2609</v>
          </cell>
          <cell r="C224" t="str">
            <v>Nirosh Tharindu Madhusanka Thewage Don</v>
          </cell>
          <cell r="D224" t="str">
            <v>Steel Fixer</v>
          </cell>
          <cell r="E224" t="str">
            <v>Worker</v>
          </cell>
          <cell r="F224" t="str">
            <v>Unicube</v>
          </cell>
          <cell r="G224" t="str">
            <v>Unicube</v>
          </cell>
          <cell r="H224" t="str">
            <v>Unicube</v>
          </cell>
          <cell r="I224">
            <v>45044</v>
          </cell>
          <cell r="J224">
            <v>613</v>
          </cell>
          <cell r="K224">
            <v>613</v>
          </cell>
          <cell r="L224">
            <v>45657</v>
          </cell>
          <cell r="M224">
            <v>0</v>
          </cell>
          <cell r="N224">
            <v>0</v>
          </cell>
          <cell r="O224">
            <v>51.083333333333329</v>
          </cell>
          <cell r="P224">
            <v>0</v>
          </cell>
          <cell r="Q224">
            <v>51.083333333333329</v>
          </cell>
        </row>
        <row r="225">
          <cell r="A225">
            <v>2610</v>
          </cell>
          <cell r="B225" t="str">
            <v>10EMP2610</v>
          </cell>
          <cell r="C225" t="str">
            <v>Natalia Kolieva</v>
          </cell>
          <cell r="D225" t="str">
            <v>Director - Luxury Brands</v>
          </cell>
          <cell r="E225" t="str">
            <v>Staff</v>
          </cell>
          <cell r="F225" t="str">
            <v>T Ten Sports Management FZCO</v>
          </cell>
          <cell r="G225" t="str">
            <v>T Ten Sports Management FZCO</v>
          </cell>
          <cell r="H225" t="str">
            <v>T Ten Sports Management FZCO</v>
          </cell>
          <cell r="I225">
            <v>45068</v>
          </cell>
          <cell r="J225">
            <v>589</v>
          </cell>
          <cell r="K225">
            <v>589</v>
          </cell>
          <cell r="L225">
            <v>45657</v>
          </cell>
          <cell r="M225">
            <v>0</v>
          </cell>
          <cell r="N225">
            <v>0</v>
          </cell>
          <cell r="O225">
            <v>49.083333333333329</v>
          </cell>
          <cell r="P225">
            <v>12</v>
          </cell>
          <cell r="Q225">
            <v>37.083333333333329</v>
          </cell>
        </row>
        <row r="226">
          <cell r="A226">
            <v>2611</v>
          </cell>
          <cell r="B226" t="str">
            <v>10EMP2611</v>
          </cell>
          <cell r="C226" t="str">
            <v>Sreejesh Kumar</v>
          </cell>
          <cell r="D226" t="str">
            <v>CCL Planner</v>
          </cell>
          <cell r="E226" t="str">
            <v>Staff</v>
          </cell>
          <cell r="F226" t="str">
            <v>Mulk Holdings FZC</v>
          </cell>
          <cell r="G226" t="str">
            <v>CCL</v>
          </cell>
          <cell r="H226" t="str">
            <v>Back Office Production (CCL)</v>
          </cell>
          <cell r="I226">
            <v>45079</v>
          </cell>
          <cell r="J226">
            <v>578</v>
          </cell>
          <cell r="K226">
            <v>578</v>
          </cell>
          <cell r="L226">
            <v>45657</v>
          </cell>
          <cell r="M226">
            <v>0</v>
          </cell>
          <cell r="N226">
            <v>0</v>
          </cell>
          <cell r="O226">
            <v>48.166666666666671</v>
          </cell>
          <cell r="P226">
            <v>14</v>
          </cell>
          <cell r="Q226">
            <v>34.166666666666671</v>
          </cell>
        </row>
        <row r="227">
          <cell r="A227">
            <v>2613</v>
          </cell>
          <cell r="B227" t="str">
            <v>10EMP2613</v>
          </cell>
          <cell r="C227" t="str">
            <v>Amrish Pandey</v>
          </cell>
          <cell r="D227" t="str">
            <v>Helper</v>
          </cell>
          <cell r="E227" t="str">
            <v>Worker</v>
          </cell>
          <cell r="F227" t="str">
            <v>Unicube</v>
          </cell>
          <cell r="G227" t="str">
            <v>Unicube</v>
          </cell>
          <cell r="H227" t="str">
            <v>Unicube</v>
          </cell>
          <cell r="I227">
            <v>45084</v>
          </cell>
          <cell r="J227">
            <v>573</v>
          </cell>
          <cell r="K227">
            <v>573</v>
          </cell>
          <cell r="L227">
            <v>45657</v>
          </cell>
          <cell r="M227">
            <v>0</v>
          </cell>
          <cell r="N227">
            <v>0</v>
          </cell>
          <cell r="O227">
            <v>47.75</v>
          </cell>
          <cell r="P227">
            <v>0</v>
          </cell>
          <cell r="Q227">
            <v>47.75</v>
          </cell>
        </row>
        <row r="228">
          <cell r="A228">
            <v>2614</v>
          </cell>
          <cell r="B228" t="str">
            <v>10EMP2614</v>
          </cell>
          <cell r="C228" t="str">
            <v>Manish Kumar Yadav</v>
          </cell>
          <cell r="D228" t="str">
            <v>Helper</v>
          </cell>
          <cell r="E228" t="str">
            <v>Worker</v>
          </cell>
          <cell r="F228" t="str">
            <v>Unicube</v>
          </cell>
          <cell r="G228" t="str">
            <v>Unicube</v>
          </cell>
          <cell r="H228" t="str">
            <v>Unicube</v>
          </cell>
          <cell r="I228">
            <v>45084</v>
          </cell>
          <cell r="J228">
            <v>573</v>
          </cell>
          <cell r="K228">
            <v>573</v>
          </cell>
          <cell r="L228">
            <v>45657</v>
          </cell>
          <cell r="M228">
            <v>0</v>
          </cell>
          <cell r="N228">
            <v>0</v>
          </cell>
          <cell r="O228">
            <v>47.75</v>
          </cell>
          <cell r="P228">
            <v>0</v>
          </cell>
          <cell r="Q228">
            <v>47.75</v>
          </cell>
        </row>
        <row r="229">
          <cell r="A229">
            <v>2615</v>
          </cell>
          <cell r="B229" t="str">
            <v>10EMP2615</v>
          </cell>
          <cell r="C229" t="str">
            <v>Qamar Zaman Muhammad Akmal</v>
          </cell>
          <cell r="D229" t="str">
            <v>CNC Programmer &amp; Operator</v>
          </cell>
          <cell r="E229" t="str">
            <v>Staff</v>
          </cell>
          <cell r="F229" t="str">
            <v>Unicube</v>
          </cell>
          <cell r="G229" t="str">
            <v>Unicube</v>
          </cell>
          <cell r="H229" t="str">
            <v>Unicube</v>
          </cell>
          <cell r="I229">
            <v>45097</v>
          </cell>
          <cell r="J229">
            <v>560</v>
          </cell>
          <cell r="K229">
            <v>560</v>
          </cell>
          <cell r="L229">
            <v>45657</v>
          </cell>
          <cell r="M229">
            <v>0</v>
          </cell>
          <cell r="N229">
            <v>0</v>
          </cell>
          <cell r="O229">
            <v>46.666666666666664</v>
          </cell>
          <cell r="P229">
            <v>46</v>
          </cell>
          <cell r="Q229">
            <v>0.6666666666666643</v>
          </cell>
        </row>
        <row r="230">
          <cell r="A230">
            <v>2617</v>
          </cell>
          <cell r="B230" t="str">
            <v>10EMP2617</v>
          </cell>
          <cell r="C230" t="str">
            <v>Masood Ur Rahman</v>
          </cell>
          <cell r="D230" t="str">
            <v>Helper</v>
          </cell>
          <cell r="E230" t="str">
            <v>Worker</v>
          </cell>
          <cell r="F230" t="str">
            <v>Unicube</v>
          </cell>
          <cell r="G230" t="str">
            <v>Unicube</v>
          </cell>
          <cell r="H230" t="str">
            <v>Unicube</v>
          </cell>
          <cell r="I230">
            <v>45124</v>
          </cell>
          <cell r="J230">
            <v>533</v>
          </cell>
          <cell r="K230">
            <v>533</v>
          </cell>
          <cell r="L230">
            <v>45657</v>
          </cell>
          <cell r="M230">
            <v>0</v>
          </cell>
          <cell r="N230">
            <v>0</v>
          </cell>
          <cell r="O230">
            <v>44.416666666666671</v>
          </cell>
          <cell r="P230">
            <v>0</v>
          </cell>
          <cell r="Q230">
            <v>44.416666666666671</v>
          </cell>
        </row>
        <row r="231">
          <cell r="A231">
            <v>2618</v>
          </cell>
          <cell r="B231" t="str">
            <v>10EMP2618</v>
          </cell>
          <cell r="C231" t="str">
            <v>Atta Ur Rahman</v>
          </cell>
          <cell r="D231" t="str">
            <v>Helper</v>
          </cell>
          <cell r="E231" t="str">
            <v>Worker</v>
          </cell>
          <cell r="F231" t="str">
            <v>Unicube</v>
          </cell>
          <cell r="G231" t="str">
            <v>Unicube</v>
          </cell>
          <cell r="H231" t="str">
            <v>Unicube</v>
          </cell>
          <cell r="I231">
            <v>45124</v>
          </cell>
          <cell r="J231">
            <v>533</v>
          </cell>
          <cell r="K231">
            <v>533</v>
          </cell>
          <cell r="L231">
            <v>45657</v>
          </cell>
          <cell r="M231">
            <v>0</v>
          </cell>
          <cell r="N231">
            <v>0</v>
          </cell>
          <cell r="O231">
            <v>44.416666666666671</v>
          </cell>
          <cell r="P231">
            <v>0</v>
          </cell>
          <cell r="Q231">
            <v>44.416666666666671</v>
          </cell>
        </row>
        <row r="232">
          <cell r="A232">
            <v>2619</v>
          </cell>
          <cell r="B232" t="str">
            <v>10EMP2619</v>
          </cell>
          <cell r="C232" t="str">
            <v>Atiq Ur Rahman</v>
          </cell>
          <cell r="D232" t="str">
            <v>Helper</v>
          </cell>
          <cell r="E232" t="str">
            <v>Worker</v>
          </cell>
          <cell r="F232" t="str">
            <v>Unicube</v>
          </cell>
          <cell r="G232" t="str">
            <v>Unicube</v>
          </cell>
          <cell r="H232" t="str">
            <v>Unicube</v>
          </cell>
          <cell r="I232">
            <v>45124</v>
          </cell>
          <cell r="J232">
            <v>533</v>
          </cell>
          <cell r="K232">
            <v>533</v>
          </cell>
          <cell r="L232">
            <v>45657</v>
          </cell>
          <cell r="M232">
            <v>0</v>
          </cell>
          <cell r="N232">
            <v>0</v>
          </cell>
          <cell r="O232">
            <v>44.416666666666671</v>
          </cell>
          <cell r="P232">
            <v>0</v>
          </cell>
          <cell r="Q232">
            <v>44.416666666666671</v>
          </cell>
        </row>
        <row r="233">
          <cell r="A233">
            <v>2621</v>
          </cell>
          <cell r="B233" t="str">
            <v>10EMP2621</v>
          </cell>
          <cell r="C233" t="str">
            <v>Fawad Zada</v>
          </cell>
          <cell r="D233" t="str">
            <v>Helper</v>
          </cell>
          <cell r="E233" t="str">
            <v>Worker</v>
          </cell>
          <cell r="F233" t="str">
            <v>Unicube</v>
          </cell>
          <cell r="G233" t="str">
            <v>Unicube</v>
          </cell>
          <cell r="H233" t="str">
            <v>Unicube</v>
          </cell>
          <cell r="I233">
            <v>45126</v>
          </cell>
          <cell r="J233">
            <v>531</v>
          </cell>
          <cell r="K233">
            <v>516</v>
          </cell>
          <cell r="L233">
            <v>45657</v>
          </cell>
          <cell r="M233">
            <v>0</v>
          </cell>
          <cell r="N233">
            <v>15</v>
          </cell>
          <cell r="O233">
            <v>43</v>
          </cell>
          <cell r="P233">
            <v>0</v>
          </cell>
          <cell r="Q233">
            <v>43</v>
          </cell>
        </row>
        <row r="234">
          <cell r="A234">
            <v>2622</v>
          </cell>
          <cell r="B234" t="str">
            <v>10EMP2622</v>
          </cell>
          <cell r="C234" t="str">
            <v>Ahtsham Khalid</v>
          </cell>
          <cell r="D234" t="str">
            <v>Helper</v>
          </cell>
          <cell r="E234" t="str">
            <v>Worker</v>
          </cell>
          <cell r="F234" t="str">
            <v>Unicube</v>
          </cell>
          <cell r="G234" t="str">
            <v>Unicube</v>
          </cell>
          <cell r="H234" t="str">
            <v>Unicube</v>
          </cell>
          <cell r="I234">
            <v>45128</v>
          </cell>
          <cell r="J234">
            <v>529</v>
          </cell>
          <cell r="K234">
            <v>529</v>
          </cell>
          <cell r="L234">
            <v>45657</v>
          </cell>
          <cell r="M234">
            <v>0</v>
          </cell>
          <cell r="N234">
            <v>0</v>
          </cell>
          <cell r="O234">
            <v>44.083333333333336</v>
          </cell>
          <cell r="P234">
            <v>0</v>
          </cell>
          <cell r="Q234">
            <v>44.083333333333336</v>
          </cell>
        </row>
        <row r="235">
          <cell r="A235">
            <v>2624</v>
          </cell>
          <cell r="B235" t="str">
            <v>10EMP2624</v>
          </cell>
          <cell r="C235" t="str">
            <v>Ahmad Ullah</v>
          </cell>
          <cell r="D235" t="str">
            <v>Helper</v>
          </cell>
          <cell r="E235" t="str">
            <v>Worker</v>
          </cell>
          <cell r="F235" t="str">
            <v>Metalplast Industries FZE</v>
          </cell>
          <cell r="G235" t="str">
            <v>Metalplast</v>
          </cell>
          <cell r="H235" t="str">
            <v>Metalplast Production</v>
          </cell>
          <cell r="I235">
            <v>45148</v>
          </cell>
          <cell r="J235">
            <v>509</v>
          </cell>
          <cell r="K235">
            <v>509</v>
          </cell>
          <cell r="L235">
            <v>45657</v>
          </cell>
          <cell r="M235">
            <v>0</v>
          </cell>
          <cell r="N235">
            <v>0</v>
          </cell>
          <cell r="O235">
            <v>42.416666666666671</v>
          </cell>
          <cell r="P235">
            <v>0</v>
          </cell>
          <cell r="Q235">
            <v>42.416666666666671</v>
          </cell>
        </row>
        <row r="236">
          <cell r="A236">
            <v>2626</v>
          </cell>
          <cell r="B236" t="str">
            <v>10EMP2626</v>
          </cell>
          <cell r="C236" t="str">
            <v>Sanjeev Dubey</v>
          </cell>
          <cell r="D236" t="str">
            <v>Helper</v>
          </cell>
          <cell r="E236" t="str">
            <v>Worker</v>
          </cell>
          <cell r="F236" t="str">
            <v>Metalplast Industries FZE</v>
          </cell>
          <cell r="G236" t="str">
            <v>Metalplast</v>
          </cell>
          <cell r="H236" t="str">
            <v>Metalplast Production</v>
          </cell>
          <cell r="I236">
            <v>45154</v>
          </cell>
          <cell r="J236">
            <v>503</v>
          </cell>
          <cell r="K236">
            <v>481</v>
          </cell>
          <cell r="L236">
            <v>45657</v>
          </cell>
          <cell r="M236">
            <v>7</v>
          </cell>
          <cell r="N236">
            <v>15</v>
          </cell>
          <cell r="O236">
            <v>40.083333333333329</v>
          </cell>
          <cell r="P236">
            <v>0</v>
          </cell>
          <cell r="Q236">
            <v>40.083333333333329</v>
          </cell>
        </row>
        <row r="237">
          <cell r="A237">
            <v>2627</v>
          </cell>
          <cell r="B237" t="str">
            <v>10EMP2627</v>
          </cell>
          <cell r="C237" t="str">
            <v>Bheem Kumar Thakur</v>
          </cell>
          <cell r="D237" t="str">
            <v>Helper</v>
          </cell>
          <cell r="E237" t="str">
            <v>Worker</v>
          </cell>
          <cell r="F237" t="str">
            <v>Metalplast Industries FZE</v>
          </cell>
          <cell r="G237" t="str">
            <v>Metalplast</v>
          </cell>
          <cell r="H237" t="str">
            <v>Metalplast Production</v>
          </cell>
          <cell r="I237">
            <v>45154</v>
          </cell>
          <cell r="J237">
            <v>503</v>
          </cell>
          <cell r="K237">
            <v>503</v>
          </cell>
          <cell r="L237">
            <v>45657</v>
          </cell>
          <cell r="M237">
            <v>0</v>
          </cell>
          <cell r="N237">
            <v>0</v>
          </cell>
          <cell r="O237">
            <v>41.916666666666664</v>
          </cell>
          <cell r="P237">
            <v>0</v>
          </cell>
          <cell r="Q237">
            <v>41.916666666666664</v>
          </cell>
        </row>
        <row r="238">
          <cell r="A238">
            <v>2628</v>
          </cell>
          <cell r="B238" t="str">
            <v>10EMP2628</v>
          </cell>
          <cell r="C238" t="str">
            <v>Sona Kizhakudan Prince</v>
          </cell>
          <cell r="D238" t="str">
            <v>Sales Coordinator</v>
          </cell>
          <cell r="E238" t="str">
            <v>Staff</v>
          </cell>
          <cell r="F238" t="str">
            <v>Alubond Middle East FZC</v>
          </cell>
          <cell r="G238" t="str">
            <v>Sales &amp; Marketing</v>
          </cell>
          <cell r="H238" t="str">
            <v>Sales &amp; Marketing</v>
          </cell>
          <cell r="I238">
            <v>45159</v>
          </cell>
          <cell r="J238">
            <v>498</v>
          </cell>
          <cell r="K238">
            <v>498</v>
          </cell>
          <cell r="L238">
            <v>45657</v>
          </cell>
          <cell r="M238">
            <v>0</v>
          </cell>
          <cell r="N238">
            <v>0</v>
          </cell>
          <cell r="O238">
            <v>41.5</v>
          </cell>
          <cell r="P238">
            <v>40</v>
          </cell>
          <cell r="Q238">
            <v>1.5</v>
          </cell>
        </row>
        <row r="239">
          <cell r="A239">
            <v>2630</v>
          </cell>
          <cell r="B239" t="str">
            <v>10EMP2630</v>
          </cell>
          <cell r="C239" t="str">
            <v>Mohammed Ishaq Reddy</v>
          </cell>
          <cell r="D239" t="str">
            <v>Coordinator - Finance</v>
          </cell>
          <cell r="E239" t="str">
            <v>Staff</v>
          </cell>
          <cell r="F239" t="str">
            <v>T Ten Sports Management FZCO</v>
          </cell>
          <cell r="G239" t="str">
            <v>T Ten Sports Management FZCO</v>
          </cell>
          <cell r="H239" t="str">
            <v>T Ten Sports Management FZCO</v>
          </cell>
          <cell r="I239">
            <v>45142</v>
          </cell>
          <cell r="J239">
            <v>515</v>
          </cell>
          <cell r="K239">
            <v>506</v>
          </cell>
          <cell r="L239">
            <v>45657</v>
          </cell>
          <cell r="M239">
            <v>0</v>
          </cell>
          <cell r="N239">
            <v>9</v>
          </cell>
          <cell r="O239">
            <v>42.166666666666664</v>
          </cell>
          <cell r="P239">
            <v>0</v>
          </cell>
          <cell r="Q239">
            <v>42.166666666666664</v>
          </cell>
        </row>
        <row r="240">
          <cell r="A240">
            <v>2631</v>
          </cell>
          <cell r="B240" t="str">
            <v>10EMP2631</v>
          </cell>
          <cell r="C240" t="str">
            <v>Ujjwal Mishra</v>
          </cell>
          <cell r="D240" t="str">
            <v>Online QC - CCL</v>
          </cell>
          <cell r="E240" t="str">
            <v>Staff</v>
          </cell>
          <cell r="F240" t="str">
            <v>Alubond Middle East FZC</v>
          </cell>
          <cell r="H240" t="str">
            <v>QC (CCL)</v>
          </cell>
          <cell r="I240">
            <v>45189</v>
          </cell>
          <cell r="J240">
            <v>468</v>
          </cell>
          <cell r="K240">
            <v>468</v>
          </cell>
          <cell r="L240">
            <v>45657</v>
          </cell>
          <cell r="M240">
            <v>0</v>
          </cell>
          <cell r="N240">
            <v>0</v>
          </cell>
          <cell r="O240">
            <v>39</v>
          </cell>
          <cell r="P240">
            <v>0</v>
          </cell>
          <cell r="Q240">
            <v>39</v>
          </cell>
        </row>
        <row r="241">
          <cell r="A241">
            <v>2632</v>
          </cell>
          <cell r="B241" t="str">
            <v>10EMP2632</v>
          </cell>
          <cell r="C241" t="str">
            <v>Ratheesh Pv</v>
          </cell>
          <cell r="D241" t="str">
            <v>Maintenance Manager</v>
          </cell>
          <cell r="E241" t="str">
            <v>Staff</v>
          </cell>
          <cell r="F241" t="str">
            <v>Alubond Middle East FZC</v>
          </cell>
          <cell r="I241">
            <v>45187</v>
          </cell>
          <cell r="J241">
            <v>470</v>
          </cell>
          <cell r="K241">
            <v>470</v>
          </cell>
          <cell r="L241">
            <v>45657</v>
          </cell>
          <cell r="M241">
            <v>0</v>
          </cell>
          <cell r="N241">
            <v>0</v>
          </cell>
          <cell r="O241">
            <v>39.166666666666664</v>
          </cell>
          <cell r="P241">
            <v>3</v>
          </cell>
          <cell r="Q241">
            <v>36.166666666666664</v>
          </cell>
        </row>
        <row r="242">
          <cell r="A242">
            <v>2633</v>
          </cell>
          <cell r="B242" t="str">
            <v>10EMP2633</v>
          </cell>
          <cell r="C242" t="str">
            <v>Anupam Chakraborty</v>
          </cell>
          <cell r="D242" t="str">
            <v>MEP Engineer</v>
          </cell>
          <cell r="E242" t="str">
            <v>Staff</v>
          </cell>
          <cell r="F242" t="str">
            <v>Unicube</v>
          </cell>
          <cell r="G242" t="str">
            <v>Unicube</v>
          </cell>
          <cell r="H242" t="str">
            <v>Unicube</v>
          </cell>
          <cell r="I242">
            <v>45170</v>
          </cell>
          <cell r="J242">
            <v>487</v>
          </cell>
          <cell r="K242">
            <v>487</v>
          </cell>
          <cell r="L242">
            <v>45657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>
            <v>2635</v>
          </cell>
          <cell r="B243" t="str">
            <v>10EMP2635</v>
          </cell>
          <cell r="C243" t="str">
            <v>Muhamed Minhaj Nayarkandy</v>
          </cell>
          <cell r="D243" t="str">
            <v>Junior Accountant</v>
          </cell>
          <cell r="E243" t="str">
            <v>Staff</v>
          </cell>
          <cell r="F243" t="str">
            <v>T Ten Sports Management FZCO</v>
          </cell>
          <cell r="G243" t="str">
            <v>T Ten Sports Management FZCO</v>
          </cell>
          <cell r="H243" t="str">
            <v>T Ten Sports Management FZCO</v>
          </cell>
          <cell r="I243">
            <v>45183</v>
          </cell>
          <cell r="J243">
            <v>474</v>
          </cell>
          <cell r="K243">
            <v>474</v>
          </cell>
          <cell r="L243">
            <v>45657</v>
          </cell>
          <cell r="M243">
            <v>0</v>
          </cell>
          <cell r="N243">
            <v>0</v>
          </cell>
          <cell r="O243">
            <v>39.5</v>
          </cell>
          <cell r="P243">
            <v>30</v>
          </cell>
          <cell r="Q243">
            <v>9.5</v>
          </cell>
        </row>
        <row r="244">
          <cell r="A244">
            <v>2636</v>
          </cell>
          <cell r="B244" t="str">
            <v>10EMP2636</v>
          </cell>
          <cell r="C244" t="str">
            <v>Sanjoga Thapa</v>
          </cell>
          <cell r="D244" t="str">
            <v>Supervisor</v>
          </cell>
          <cell r="E244" t="str">
            <v>Support Staff</v>
          </cell>
          <cell r="F244" t="str">
            <v>Metalplast Industries FZE</v>
          </cell>
          <cell r="I244">
            <v>45194</v>
          </cell>
          <cell r="J244">
            <v>463</v>
          </cell>
          <cell r="K244">
            <v>430</v>
          </cell>
          <cell r="L244">
            <v>45657</v>
          </cell>
          <cell r="M244">
            <v>26</v>
          </cell>
          <cell r="N244">
            <v>7</v>
          </cell>
          <cell r="O244">
            <v>35.833333333333336</v>
          </cell>
          <cell r="P244">
            <v>30</v>
          </cell>
          <cell r="Q244">
            <v>5.8333333333333357</v>
          </cell>
        </row>
        <row r="245">
          <cell r="A245">
            <v>2638</v>
          </cell>
          <cell r="B245" t="str">
            <v>10EMP2638</v>
          </cell>
          <cell r="C245" t="str">
            <v>Muhammad Saad Tanveer</v>
          </cell>
          <cell r="D245" t="str">
            <v>Assistant Manager - QC</v>
          </cell>
          <cell r="E245" t="str">
            <v>Staff</v>
          </cell>
          <cell r="F245" t="str">
            <v>Alubond Middle East FZC</v>
          </cell>
          <cell r="G245" t="str">
            <v>QC (Eurocon)</v>
          </cell>
          <cell r="H245" t="str">
            <v xml:space="preserve">QC </v>
          </cell>
          <cell r="I245">
            <v>45201</v>
          </cell>
          <cell r="J245">
            <v>456</v>
          </cell>
          <cell r="K245">
            <v>457</v>
          </cell>
          <cell r="L245">
            <v>45657</v>
          </cell>
          <cell r="M245">
            <v>-1</v>
          </cell>
          <cell r="N245">
            <v>0</v>
          </cell>
          <cell r="O245">
            <v>38.083333333333329</v>
          </cell>
          <cell r="P245">
            <v>18</v>
          </cell>
          <cell r="Q245">
            <v>20.083333333333329</v>
          </cell>
        </row>
        <row r="246">
          <cell r="A246">
            <v>2642</v>
          </cell>
          <cell r="B246" t="str">
            <v>10EMP2642</v>
          </cell>
          <cell r="C246" t="str">
            <v>Wazey Khan</v>
          </cell>
          <cell r="D246" t="str">
            <v>Sales Engineer</v>
          </cell>
          <cell r="E246" t="str">
            <v>Staff</v>
          </cell>
          <cell r="F246" t="str">
            <v>Alubond Middle East FZC</v>
          </cell>
          <cell r="G246" t="str">
            <v>Export Sales</v>
          </cell>
          <cell r="H246" t="str">
            <v>Sales &amp; Marketing -KSA</v>
          </cell>
          <cell r="I246">
            <v>45271</v>
          </cell>
          <cell r="J246">
            <v>386</v>
          </cell>
          <cell r="K246">
            <v>386</v>
          </cell>
          <cell r="L246">
            <v>45657</v>
          </cell>
          <cell r="M246">
            <v>0</v>
          </cell>
          <cell r="N246">
            <v>0</v>
          </cell>
          <cell r="O246">
            <v>32.166666666666664</v>
          </cell>
          <cell r="P246">
            <v>0</v>
          </cell>
          <cell r="Q246">
            <v>32.166666666666664</v>
          </cell>
        </row>
        <row r="247">
          <cell r="A247">
            <v>2643</v>
          </cell>
          <cell r="B247" t="str">
            <v>10EMP2643</v>
          </cell>
          <cell r="C247" t="str">
            <v>Muhammed Rassel</v>
          </cell>
          <cell r="D247" t="str">
            <v>MEP Supervisor</v>
          </cell>
          <cell r="E247" t="str">
            <v>Support Staff</v>
          </cell>
          <cell r="F247" t="str">
            <v>Unicube</v>
          </cell>
          <cell r="G247" t="str">
            <v>Unicube</v>
          </cell>
          <cell r="H247" t="str">
            <v>Unicube</v>
          </cell>
          <cell r="I247">
            <v>45271</v>
          </cell>
          <cell r="J247">
            <v>386</v>
          </cell>
          <cell r="K247">
            <v>386</v>
          </cell>
          <cell r="L247">
            <v>45657</v>
          </cell>
          <cell r="M247">
            <v>0</v>
          </cell>
          <cell r="N247">
            <v>0</v>
          </cell>
          <cell r="O247">
            <v>32.166666666666664</v>
          </cell>
          <cell r="P247">
            <v>0</v>
          </cell>
          <cell r="Q247">
            <v>32.166666666666664</v>
          </cell>
        </row>
        <row r="248">
          <cell r="A248">
            <v>2644</v>
          </cell>
          <cell r="B248" t="str">
            <v>10EMP2644</v>
          </cell>
          <cell r="C248" t="str">
            <v>Muhammad Mushtaq</v>
          </cell>
          <cell r="D248" t="str">
            <v>Helper</v>
          </cell>
          <cell r="E248" t="str">
            <v>Worker</v>
          </cell>
          <cell r="F248" t="str">
            <v>Metalplast Industries FZE</v>
          </cell>
          <cell r="G248" t="str">
            <v>Metalplast</v>
          </cell>
          <cell r="H248" t="str">
            <v>Metalplast Production</v>
          </cell>
          <cell r="I248">
            <v>45271</v>
          </cell>
          <cell r="J248">
            <v>386</v>
          </cell>
          <cell r="K248">
            <v>386</v>
          </cell>
          <cell r="L248">
            <v>45657</v>
          </cell>
          <cell r="M248">
            <v>0</v>
          </cell>
          <cell r="N248">
            <v>0</v>
          </cell>
          <cell r="O248">
            <v>32.166666666666664</v>
          </cell>
          <cell r="P248">
            <v>0</v>
          </cell>
          <cell r="Q248">
            <v>32.166666666666664</v>
          </cell>
        </row>
        <row r="249">
          <cell r="A249">
            <v>2645</v>
          </cell>
          <cell r="B249" t="str">
            <v>10EMP2645</v>
          </cell>
          <cell r="C249" t="str">
            <v>Md Imran Ali</v>
          </cell>
          <cell r="D249" t="str">
            <v>Forklift Operator</v>
          </cell>
          <cell r="E249" t="str">
            <v>Worker</v>
          </cell>
          <cell r="F249" t="str">
            <v>Metalplast Industries FZE</v>
          </cell>
          <cell r="G249" t="str">
            <v>Metalplast</v>
          </cell>
          <cell r="H249" t="str">
            <v>Metalplast Production</v>
          </cell>
          <cell r="I249">
            <v>45280</v>
          </cell>
          <cell r="J249">
            <v>377</v>
          </cell>
          <cell r="K249">
            <v>377</v>
          </cell>
          <cell r="L249">
            <v>45657</v>
          </cell>
          <cell r="M249">
            <v>0</v>
          </cell>
          <cell r="N249">
            <v>0</v>
          </cell>
          <cell r="O249">
            <v>31.416666666666668</v>
          </cell>
          <cell r="P249">
            <v>0</v>
          </cell>
          <cell r="Q249">
            <v>31.416666666666668</v>
          </cell>
        </row>
        <row r="250">
          <cell r="A250">
            <v>2646</v>
          </cell>
          <cell r="B250" t="str">
            <v>10EMP2646</v>
          </cell>
          <cell r="C250" t="str">
            <v>Abraham John Thumpassery</v>
          </cell>
          <cell r="D250" t="str">
            <v xml:space="preserve">Director - Business Development </v>
          </cell>
          <cell r="E250" t="str">
            <v>Staff</v>
          </cell>
          <cell r="F250" t="str">
            <v>ZCC</v>
          </cell>
          <cell r="G250" t="str">
            <v>ZCC</v>
          </cell>
          <cell r="H250" t="str">
            <v>ZCC</v>
          </cell>
          <cell r="I250">
            <v>45264</v>
          </cell>
          <cell r="J250">
            <v>393</v>
          </cell>
          <cell r="K250">
            <v>393</v>
          </cell>
          <cell r="L250">
            <v>45657</v>
          </cell>
          <cell r="M250">
            <v>0</v>
          </cell>
          <cell r="N250">
            <v>0</v>
          </cell>
          <cell r="O250">
            <v>32.75</v>
          </cell>
          <cell r="P250">
            <v>0</v>
          </cell>
          <cell r="Q250">
            <v>32.75</v>
          </cell>
        </row>
        <row r="251">
          <cell r="A251">
            <v>2647</v>
          </cell>
          <cell r="B251" t="str">
            <v>10EMP2647</v>
          </cell>
          <cell r="C251" t="str">
            <v>Sethu Kumar</v>
          </cell>
          <cell r="D251" t="str">
            <v>Senior Accountant</v>
          </cell>
          <cell r="E251" t="str">
            <v>Staff</v>
          </cell>
          <cell r="F251" t="str">
            <v>Unicube</v>
          </cell>
          <cell r="G251" t="str">
            <v>Unicube</v>
          </cell>
          <cell r="H251" t="str">
            <v>Unicube</v>
          </cell>
          <cell r="I251">
            <v>45293</v>
          </cell>
          <cell r="J251">
            <v>364</v>
          </cell>
          <cell r="K251">
            <v>364</v>
          </cell>
          <cell r="L251">
            <v>45657</v>
          </cell>
          <cell r="M251">
            <v>0</v>
          </cell>
          <cell r="N251">
            <v>0</v>
          </cell>
          <cell r="O251">
            <v>30.333333333333332</v>
          </cell>
          <cell r="P251">
            <v>0</v>
          </cell>
          <cell r="Q251">
            <v>30.333333333333332</v>
          </cell>
        </row>
        <row r="252">
          <cell r="A252">
            <v>2655</v>
          </cell>
          <cell r="B252" t="str">
            <v>10EMP2655</v>
          </cell>
          <cell r="C252" t="str">
            <v>Chandan Mandal</v>
          </cell>
          <cell r="D252" t="str">
            <v xml:space="preserve"> Welder</v>
          </cell>
          <cell r="E252" t="str">
            <v>Worker</v>
          </cell>
          <cell r="F252" t="str">
            <v>ZCC</v>
          </cell>
          <cell r="G252" t="str">
            <v>ZCC</v>
          </cell>
          <cell r="H252" t="str">
            <v>ZCC</v>
          </cell>
          <cell r="I252">
            <v>45314</v>
          </cell>
          <cell r="J252">
            <v>343</v>
          </cell>
          <cell r="K252">
            <v>343</v>
          </cell>
          <cell r="L252">
            <v>45657</v>
          </cell>
          <cell r="M252">
            <v>0</v>
          </cell>
          <cell r="N252">
            <v>0</v>
          </cell>
          <cell r="O252">
            <v>28.583333333333332</v>
          </cell>
          <cell r="P252">
            <v>0</v>
          </cell>
          <cell r="Q252">
            <v>28.583333333333332</v>
          </cell>
        </row>
        <row r="253">
          <cell r="A253">
            <v>2656</v>
          </cell>
          <cell r="B253" t="str">
            <v>10EMP2656</v>
          </cell>
          <cell r="C253" t="str">
            <v>Amith V.R</v>
          </cell>
          <cell r="D253" t="str">
            <v>Junior Executive - HR</v>
          </cell>
          <cell r="E253" t="str">
            <v>Staff</v>
          </cell>
          <cell r="F253" t="str">
            <v>MH Shared Services</v>
          </cell>
          <cell r="G253" t="str">
            <v>MH Shared Services</v>
          </cell>
          <cell r="H253" t="str">
            <v>HR &amp; Admin</v>
          </cell>
          <cell r="I253">
            <v>45344</v>
          </cell>
          <cell r="J253">
            <v>313</v>
          </cell>
          <cell r="K253">
            <v>313</v>
          </cell>
          <cell r="L253">
            <v>45657</v>
          </cell>
          <cell r="M253">
            <v>0</v>
          </cell>
          <cell r="N253">
            <v>0</v>
          </cell>
          <cell r="O253">
            <v>26.083333333333336</v>
          </cell>
          <cell r="P253">
            <v>0</v>
          </cell>
          <cell r="Q253">
            <v>26.083333333333336</v>
          </cell>
        </row>
        <row r="254">
          <cell r="A254">
            <v>2657</v>
          </cell>
          <cell r="B254" t="str">
            <v>10EMP2657</v>
          </cell>
          <cell r="C254" t="str">
            <v>Vipulkumar Bhanuprasad Dvivedi</v>
          </cell>
          <cell r="D254" t="str">
            <v>Senior Project Manager</v>
          </cell>
          <cell r="E254" t="str">
            <v>Staff</v>
          </cell>
          <cell r="F254" t="str">
            <v>ZCC</v>
          </cell>
          <cell r="G254" t="str">
            <v>ZCC</v>
          </cell>
          <cell r="H254" t="str">
            <v>ZCC</v>
          </cell>
          <cell r="I254">
            <v>45358</v>
          </cell>
          <cell r="J254">
            <v>299</v>
          </cell>
          <cell r="K254">
            <v>299</v>
          </cell>
          <cell r="L254">
            <v>45657</v>
          </cell>
          <cell r="M254">
            <v>0</v>
          </cell>
          <cell r="N254">
            <v>0</v>
          </cell>
          <cell r="O254">
            <v>24.916666666666668</v>
          </cell>
          <cell r="P254">
            <v>0</v>
          </cell>
          <cell r="Q254">
            <v>24.916666666666668</v>
          </cell>
        </row>
        <row r="255">
          <cell r="A255">
            <v>2658</v>
          </cell>
          <cell r="B255" t="str">
            <v>10EMP2658</v>
          </cell>
          <cell r="C255" t="str">
            <v>Satheesh Edassery</v>
          </cell>
          <cell r="D255" t="str">
            <v>Double Head Cutting Machine Operator</v>
          </cell>
          <cell r="E255" t="str">
            <v>Worker</v>
          </cell>
          <cell r="F255" t="str">
            <v>Unicube</v>
          </cell>
          <cell r="G255" t="str">
            <v>Unicube</v>
          </cell>
          <cell r="H255" t="str">
            <v>Unicube</v>
          </cell>
          <cell r="I255">
            <v>45385</v>
          </cell>
          <cell r="J255">
            <v>272</v>
          </cell>
          <cell r="K255">
            <v>272</v>
          </cell>
          <cell r="L255">
            <v>45657</v>
          </cell>
          <cell r="M255">
            <v>0</v>
          </cell>
          <cell r="N255">
            <v>0</v>
          </cell>
          <cell r="O255">
            <v>22.666666666666664</v>
          </cell>
          <cell r="P255">
            <v>0</v>
          </cell>
          <cell r="Q255">
            <v>22.666666666666664</v>
          </cell>
        </row>
        <row r="256">
          <cell r="A256">
            <v>2661</v>
          </cell>
          <cell r="B256" t="str">
            <v>10EMP2661</v>
          </cell>
          <cell r="C256" t="str">
            <v>Mohammed Sayeed Ahmed</v>
          </cell>
          <cell r="D256" t="str">
            <v>Sales Manager</v>
          </cell>
          <cell r="E256" t="str">
            <v>Staff</v>
          </cell>
          <cell r="F256" t="str">
            <v>Sponsored/Own/Visit/No Visa</v>
          </cell>
          <cell r="G256" t="str">
            <v>Export Sales</v>
          </cell>
          <cell r="H256" t="str">
            <v>Sales &amp; Marketing -KSA</v>
          </cell>
          <cell r="I256">
            <v>45398</v>
          </cell>
          <cell r="J256">
            <v>259</v>
          </cell>
          <cell r="K256">
            <v>259</v>
          </cell>
          <cell r="L256">
            <v>45657</v>
          </cell>
          <cell r="M256">
            <v>0</v>
          </cell>
          <cell r="N256">
            <v>0</v>
          </cell>
          <cell r="O256">
            <v>21.583333333333332</v>
          </cell>
          <cell r="P256">
            <v>0</v>
          </cell>
          <cell r="Q256">
            <v>21.583333333333332</v>
          </cell>
        </row>
        <row r="257">
          <cell r="A257">
            <v>2662</v>
          </cell>
          <cell r="B257" t="str">
            <v>10EMP2662</v>
          </cell>
          <cell r="C257" t="str">
            <v>Hom Bahadur Gyawa</v>
          </cell>
          <cell r="D257" t="str">
            <v>Security Guard</v>
          </cell>
          <cell r="E257" t="str">
            <v>Support Staff</v>
          </cell>
          <cell r="F257" t="str">
            <v>Alubond Middle East FZC</v>
          </cell>
          <cell r="G257" t="str">
            <v>Eurocon Service Dpt</v>
          </cell>
          <cell r="H257" t="str">
            <v>M/H Security</v>
          </cell>
          <cell r="I257">
            <v>45412</v>
          </cell>
          <cell r="J257">
            <v>245</v>
          </cell>
          <cell r="K257">
            <v>245</v>
          </cell>
          <cell r="L257">
            <v>45657</v>
          </cell>
          <cell r="M257">
            <v>0</v>
          </cell>
          <cell r="N257">
            <v>0</v>
          </cell>
          <cell r="O257">
            <v>20.416666666666668</v>
          </cell>
          <cell r="P257">
            <v>0</v>
          </cell>
          <cell r="Q257">
            <v>20.416666666666668</v>
          </cell>
        </row>
        <row r="258">
          <cell r="A258">
            <v>2663</v>
          </cell>
          <cell r="B258" t="str">
            <v>10EMP2663</v>
          </cell>
          <cell r="C258" t="str">
            <v>Rishikesh Pulasseri</v>
          </cell>
          <cell r="D258" t="str">
            <v>Data Entry Operator</v>
          </cell>
          <cell r="E258" t="str">
            <v>Staff</v>
          </cell>
          <cell r="F258" t="str">
            <v>Alubond Middle East FZC</v>
          </cell>
          <cell r="G258" t="str">
            <v>ACP / CCL</v>
          </cell>
          <cell r="H258" t="str">
            <v>Production &amp; Planning</v>
          </cell>
          <cell r="I258">
            <v>45418</v>
          </cell>
          <cell r="J258">
            <v>239</v>
          </cell>
          <cell r="K258">
            <v>239</v>
          </cell>
          <cell r="L258">
            <v>45657</v>
          </cell>
          <cell r="M258">
            <v>0</v>
          </cell>
          <cell r="N258">
            <v>0</v>
          </cell>
          <cell r="O258">
            <v>19.916666666666664</v>
          </cell>
          <cell r="P258">
            <v>0</v>
          </cell>
          <cell r="Q258">
            <v>19.916666666666664</v>
          </cell>
        </row>
        <row r="259">
          <cell r="A259">
            <v>2664</v>
          </cell>
          <cell r="B259" t="str">
            <v>10EMP2664</v>
          </cell>
          <cell r="C259" t="str">
            <v>Musaddaq Kaleem</v>
          </cell>
          <cell r="D259" t="str">
            <v>Helper</v>
          </cell>
          <cell r="E259" t="str">
            <v>Worker</v>
          </cell>
          <cell r="F259" t="str">
            <v>Alubond Middle East FZC</v>
          </cell>
          <cell r="G259" t="str">
            <v>ACP</v>
          </cell>
          <cell r="H259" t="str">
            <v>Production (ACP)</v>
          </cell>
          <cell r="I259">
            <v>45414</v>
          </cell>
          <cell r="J259">
            <v>243</v>
          </cell>
          <cell r="K259">
            <v>243</v>
          </cell>
          <cell r="L259">
            <v>45657</v>
          </cell>
          <cell r="M259">
            <v>0</v>
          </cell>
          <cell r="N259">
            <v>0</v>
          </cell>
          <cell r="O259">
            <v>20.25</v>
          </cell>
          <cell r="P259">
            <v>0</v>
          </cell>
          <cell r="Q259">
            <v>20.25</v>
          </cell>
        </row>
        <row r="260">
          <cell r="A260">
            <v>2665</v>
          </cell>
          <cell r="B260" t="str">
            <v>10EMP2665</v>
          </cell>
          <cell r="C260" t="str">
            <v>Manmeet Singh</v>
          </cell>
          <cell r="D260" t="str">
            <v>Helper</v>
          </cell>
          <cell r="E260" t="str">
            <v>Worker</v>
          </cell>
          <cell r="F260" t="str">
            <v>Alubond Middle East FZC</v>
          </cell>
          <cell r="G260" t="str">
            <v>ACP</v>
          </cell>
          <cell r="H260" t="str">
            <v>Production (ACP)</v>
          </cell>
          <cell r="I260">
            <v>45414</v>
          </cell>
          <cell r="J260">
            <v>243</v>
          </cell>
          <cell r="K260">
            <v>243</v>
          </cell>
          <cell r="L260">
            <v>45657</v>
          </cell>
          <cell r="M260">
            <v>0</v>
          </cell>
          <cell r="N260">
            <v>0</v>
          </cell>
          <cell r="O260">
            <v>20.25</v>
          </cell>
          <cell r="P260">
            <v>0</v>
          </cell>
          <cell r="Q260">
            <v>20.25</v>
          </cell>
        </row>
        <row r="261">
          <cell r="A261">
            <v>2666</v>
          </cell>
          <cell r="B261" t="str">
            <v>10EMP2666</v>
          </cell>
          <cell r="C261" t="str">
            <v>Irfan Ali</v>
          </cell>
          <cell r="D261" t="str">
            <v>Helper</v>
          </cell>
          <cell r="E261" t="str">
            <v>Worker</v>
          </cell>
          <cell r="F261" t="str">
            <v>Alubond Middle East FZC</v>
          </cell>
          <cell r="G261" t="str">
            <v>ACP</v>
          </cell>
          <cell r="H261" t="str">
            <v>Production (ACP)</v>
          </cell>
          <cell r="I261">
            <v>45414</v>
          </cell>
          <cell r="J261">
            <v>243</v>
          </cell>
          <cell r="K261">
            <v>243</v>
          </cell>
          <cell r="L261">
            <v>45657</v>
          </cell>
          <cell r="M261">
            <v>0</v>
          </cell>
          <cell r="N261">
            <v>0</v>
          </cell>
          <cell r="O261">
            <v>20.25</v>
          </cell>
          <cell r="P261">
            <v>0</v>
          </cell>
          <cell r="Q261">
            <v>20.25</v>
          </cell>
        </row>
        <row r="262">
          <cell r="A262">
            <v>2667</v>
          </cell>
          <cell r="B262" t="str">
            <v>10EMP2667</v>
          </cell>
          <cell r="C262" t="str">
            <v>Shabaz Khan</v>
          </cell>
          <cell r="D262" t="str">
            <v>Helper</v>
          </cell>
          <cell r="E262" t="str">
            <v>Worker</v>
          </cell>
          <cell r="F262" t="str">
            <v>Metalplast Industries FZE</v>
          </cell>
          <cell r="G262" t="str">
            <v>Metalplast</v>
          </cell>
          <cell r="H262" t="str">
            <v>Metalplast Production</v>
          </cell>
          <cell r="I262">
            <v>45414</v>
          </cell>
          <cell r="J262">
            <v>243</v>
          </cell>
          <cell r="K262">
            <v>243</v>
          </cell>
          <cell r="L262">
            <v>45657</v>
          </cell>
          <cell r="M262">
            <v>0</v>
          </cell>
          <cell r="N262">
            <v>0</v>
          </cell>
          <cell r="O262">
            <v>20.25</v>
          </cell>
          <cell r="P262">
            <v>0</v>
          </cell>
          <cell r="Q262">
            <v>20.25</v>
          </cell>
        </row>
        <row r="263">
          <cell r="A263">
            <v>2668</v>
          </cell>
          <cell r="B263" t="str">
            <v>10EMP2668</v>
          </cell>
          <cell r="C263" t="str">
            <v>Zain Ul Rehman</v>
          </cell>
          <cell r="D263" t="str">
            <v>Helper</v>
          </cell>
          <cell r="E263" t="str">
            <v>Worker</v>
          </cell>
          <cell r="F263" t="str">
            <v>Metalplast Industries FZE</v>
          </cell>
          <cell r="G263" t="str">
            <v>Metalplast</v>
          </cell>
          <cell r="H263" t="str">
            <v>Metalplast Production</v>
          </cell>
          <cell r="I263">
            <v>45414</v>
          </cell>
          <cell r="J263">
            <v>243</v>
          </cell>
          <cell r="K263">
            <v>243</v>
          </cell>
          <cell r="L263">
            <v>45657</v>
          </cell>
          <cell r="M263">
            <v>0</v>
          </cell>
          <cell r="N263">
            <v>0</v>
          </cell>
          <cell r="O263">
            <v>20.25</v>
          </cell>
          <cell r="P263">
            <v>0</v>
          </cell>
          <cell r="Q263">
            <v>20.25</v>
          </cell>
        </row>
        <row r="264">
          <cell r="A264">
            <v>2670</v>
          </cell>
          <cell r="B264" t="str">
            <v>10EMP2670</v>
          </cell>
          <cell r="C264" t="str">
            <v>Bobby Singh Jaspal Singh</v>
          </cell>
          <cell r="D264" t="str">
            <v>Helper</v>
          </cell>
          <cell r="E264" t="str">
            <v>Worker</v>
          </cell>
          <cell r="F264" t="str">
            <v>Alubond Middle East FZC</v>
          </cell>
          <cell r="G264" t="str">
            <v>ACP</v>
          </cell>
          <cell r="H264" t="str">
            <v>Production (ACP)</v>
          </cell>
          <cell r="I264">
            <v>45434</v>
          </cell>
          <cell r="J264">
            <v>223</v>
          </cell>
          <cell r="K264">
            <v>223</v>
          </cell>
          <cell r="L264">
            <v>45657</v>
          </cell>
          <cell r="M264">
            <v>0</v>
          </cell>
          <cell r="N264">
            <v>0</v>
          </cell>
          <cell r="O264">
            <v>18.583333333333336</v>
          </cell>
          <cell r="P264">
            <v>0</v>
          </cell>
          <cell r="Q264">
            <v>18.583333333333336</v>
          </cell>
        </row>
        <row r="265">
          <cell r="A265">
            <v>2671</v>
          </cell>
          <cell r="B265" t="str">
            <v>10EMP2671</v>
          </cell>
          <cell r="C265" t="str">
            <v>Harpreet Singh</v>
          </cell>
          <cell r="D265" t="str">
            <v>Helper</v>
          </cell>
          <cell r="E265" t="str">
            <v>Worker</v>
          </cell>
          <cell r="F265" t="str">
            <v>Alubond Middle East FZC</v>
          </cell>
          <cell r="G265" t="str">
            <v>ACP</v>
          </cell>
          <cell r="H265" t="str">
            <v>Production (ACP)</v>
          </cell>
          <cell r="I265">
            <v>45434</v>
          </cell>
          <cell r="J265">
            <v>223</v>
          </cell>
          <cell r="K265">
            <v>204</v>
          </cell>
          <cell r="L265">
            <v>45657</v>
          </cell>
          <cell r="M265">
            <v>4</v>
          </cell>
          <cell r="N265">
            <v>15</v>
          </cell>
          <cell r="O265">
            <v>17</v>
          </cell>
          <cell r="P265">
            <v>0</v>
          </cell>
          <cell r="Q265">
            <v>17</v>
          </cell>
        </row>
        <row r="266">
          <cell r="A266">
            <v>2672</v>
          </cell>
          <cell r="B266" t="str">
            <v>10EMP2672</v>
          </cell>
          <cell r="C266" t="str">
            <v>Daljinder Singh</v>
          </cell>
          <cell r="D266" t="str">
            <v>Helper</v>
          </cell>
          <cell r="E266" t="str">
            <v>Worker</v>
          </cell>
          <cell r="F266" t="str">
            <v>Alubond Middle East FZC</v>
          </cell>
          <cell r="G266" t="str">
            <v>ACP</v>
          </cell>
          <cell r="H266" t="str">
            <v>Production (ACP)</v>
          </cell>
          <cell r="I266">
            <v>45434</v>
          </cell>
          <cell r="J266">
            <v>223</v>
          </cell>
          <cell r="K266">
            <v>223</v>
          </cell>
          <cell r="L266">
            <v>45657</v>
          </cell>
          <cell r="M266">
            <v>0</v>
          </cell>
          <cell r="N266">
            <v>0</v>
          </cell>
          <cell r="O266">
            <v>18.583333333333336</v>
          </cell>
          <cell r="P266">
            <v>0</v>
          </cell>
          <cell r="Q266">
            <v>18.583333333333336</v>
          </cell>
        </row>
        <row r="267">
          <cell r="A267">
            <v>2673</v>
          </cell>
          <cell r="B267" t="str">
            <v>10EMP2673</v>
          </cell>
          <cell r="C267" t="str">
            <v>Gurjit Kumar</v>
          </cell>
          <cell r="D267" t="str">
            <v>Helper</v>
          </cell>
          <cell r="E267" t="str">
            <v>Worker</v>
          </cell>
          <cell r="F267" t="str">
            <v>Alubond Middle East FZC</v>
          </cell>
          <cell r="G267" t="str">
            <v>ACP</v>
          </cell>
          <cell r="H267" t="str">
            <v>Production (ACP)</v>
          </cell>
          <cell r="I267">
            <v>45434</v>
          </cell>
          <cell r="J267">
            <v>223</v>
          </cell>
          <cell r="K267">
            <v>223</v>
          </cell>
          <cell r="L267">
            <v>45657</v>
          </cell>
          <cell r="M267">
            <v>0</v>
          </cell>
          <cell r="N267">
            <v>0</v>
          </cell>
          <cell r="O267">
            <v>18.583333333333336</v>
          </cell>
          <cell r="P267">
            <v>0</v>
          </cell>
          <cell r="Q267">
            <v>18.583333333333336</v>
          </cell>
        </row>
        <row r="268">
          <cell r="A268">
            <v>2675</v>
          </cell>
          <cell r="B268" t="str">
            <v>10EMP2675</v>
          </cell>
          <cell r="C268" t="str">
            <v>Muhammad Talha</v>
          </cell>
          <cell r="D268" t="str">
            <v>Helper</v>
          </cell>
          <cell r="E268" t="str">
            <v>Worker</v>
          </cell>
          <cell r="F268" t="str">
            <v>Metalplast Industries FZE</v>
          </cell>
          <cell r="G268" t="str">
            <v>Metalplast</v>
          </cell>
          <cell r="H268" t="str">
            <v>Metalplast Production</v>
          </cell>
          <cell r="I268">
            <v>45435</v>
          </cell>
          <cell r="J268">
            <v>222</v>
          </cell>
          <cell r="K268">
            <v>222</v>
          </cell>
          <cell r="L268">
            <v>45657</v>
          </cell>
          <cell r="M268">
            <v>0</v>
          </cell>
          <cell r="N268">
            <v>0</v>
          </cell>
          <cell r="O268">
            <v>18.5</v>
          </cell>
          <cell r="P268">
            <v>0</v>
          </cell>
          <cell r="Q268">
            <v>18.5</v>
          </cell>
        </row>
        <row r="269">
          <cell r="A269">
            <v>2676</v>
          </cell>
          <cell r="B269" t="str">
            <v>10EMP2676</v>
          </cell>
          <cell r="C269" t="str">
            <v>Adnan Ali</v>
          </cell>
          <cell r="D269" t="str">
            <v>Helper</v>
          </cell>
          <cell r="E269" t="str">
            <v>Worker</v>
          </cell>
          <cell r="F269" t="str">
            <v>Metalplast Industries FZE</v>
          </cell>
          <cell r="G269" t="str">
            <v>Metalplast</v>
          </cell>
          <cell r="H269" t="str">
            <v>Metalplast Production</v>
          </cell>
          <cell r="I269">
            <v>45435</v>
          </cell>
          <cell r="J269">
            <v>222</v>
          </cell>
          <cell r="K269">
            <v>222</v>
          </cell>
          <cell r="L269">
            <v>45657</v>
          </cell>
          <cell r="M269">
            <v>0</v>
          </cell>
          <cell r="N269">
            <v>0</v>
          </cell>
          <cell r="O269">
            <v>18.5</v>
          </cell>
          <cell r="P269">
            <v>0</v>
          </cell>
          <cell r="Q269">
            <v>18.5</v>
          </cell>
        </row>
        <row r="270">
          <cell r="A270">
            <v>2677</v>
          </cell>
          <cell r="B270" t="str">
            <v>10EMP2677</v>
          </cell>
          <cell r="C270" t="str">
            <v>Muhammad Sohail</v>
          </cell>
          <cell r="D270" t="str">
            <v>Helper</v>
          </cell>
          <cell r="E270" t="str">
            <v>Worker</v>
          </cell>
          <cell r="F270" t="str">
            <v>Metalplast Industries FZE</v>
          </cell>
          <cell r="G270" t="str">
            <v>Metalplast</v>
          </cell>
          <cell r="H270" t="str">
            <v>Metalplast Production</v>
          </cell>
          <cell r="I270">
            <v>45439</v>
          </cell>
          <cell r="J270">
            <v>218</v>
          </cell>
          <cell r="K270">
            <v>218</v>
          </cell>
          <cell r="L270">
            <v>45657</v>
          </cell>
          <cell r="M270">
            <v>0</v>
          </cell>
          <cell r="N270">
            <v>0</v>
          </cell>
          <cell r="O270">
            <v>18.166666666666664</v>
          </cell>
          <cell r="P270">
            <v>0</v>
          </cell>
          <cell r="Q270">
            <v>18.166666666666664</v>
          </cell>
        </row>
        <row r="271">
          <cell r="A271">
            <v>2680</v>
          </cell>
          <cell r="B271" t="str">
            <v>10EMP2680</v>
          </cell>
          <cell r="C271" t="str">
            <v>Gokul Mohan</v>
          </cell>
          <cell r="D271" t="str">
            <v>ACP Lamination Operator</v>
          </cell>
          <cell r="E271" t="str">
            <v>Worker</v>
          </cell>
          <cell r="F271" t="str">
            <v>Alubond Middle East FZC</v>
          </cell>
          <cell r="G271" t="str">
            <v>ACP</v>
          </cell>
          <cell r="H271" t="str">
            <v>Production (ACP)</v>
          </cell>
          <cell r="I271">
            <v>45440</v>
          </cell>
          <cell r="J271">
            <v>217</v>
          </cell>
          <cell r="K271">
            <v>217</v>
          </cell>
          <cell r="L271">
            <v>45657</v>
          </cell>
          <cell r="M271">
            <v>0</v>
          </cell>
          <cell r="N271">
            <v>0</v>
          </cell>
          <cell r="O271">
            <v>18.083333333333332</v>
          </cell>
          <cell r="P271">
            <v>0</v>
          </cell>
          <cell r="Q271">
            <v>18.083333333333332</v>
          </cell>
        </row>
        <row r="272">
          <cell r="A272">
            <v>2681</v>
          </cell>
          <cell r="B272" t="str">
            <v>10EMP2681</v>
          </cell>
          <cell r="C272" t="str">
            <v>Muhammad Hanzlah Awan</v>
          </cell>
          <cell r="D272" t="str">
            <v>Helper</v>
          </cell>
          <cell r="E272" t="str">
            <v>Worker</v>
          </cell>
          <cell r="F272" t="str">
            <v>Metalplast Industries FZE</v>
          </cell>
          <cell r="G272" t="str">
            <v>Metalplast</v>
          </cell>
          <cell r="H272" t="str">
            <v>Metalplast Production</v>
          </cell>
          <cell r="I272">
            <v>45422</v>
          </cell>
          <cell r="J272">
            <v>235</v>
          </cell>
          <cell r="K272">
            <v>235</v>
          </cell>
          <cell r="L272">
            <v>45657</v>
          </cell>
          <cell r="M272">
            <v>0</v>
          </cell>
          <cell r="N272">
            <v>0</v>
          </cell>
          <cell r="O272">
            <v>19.583333333333332</v>
          </cell>
          <cell r="P272">
            <v>0</v>
          </cell>
          <cell r="Q272">
            <v>19.583333333333332</v>
          </cell>
        </row>
        <row r="273">
          <cell r="A273">
            <v>2682</v>
          </cell>
          <cell r="B273" t="str">
            <v>10EMP2682</v>
          </cell>
          <cell r="C273" t="str">
            <v>Yasa Rakesh</v>
          </cell>
          <cell r="D273" t="str">
            <v>LGS Detailer</v>
          </cell>
          <cell r="E273" t="str">
            <v>Staff</v>
          </cell>
          <cell r="F273" t="str">
            <v>ZCC</v>
          </cell>
          <cell r="G273" t="str">
            <v>ZCC</v>
          </cell>
          <cell r="H273" t="str">
            <v>ZCC</v>
          </cell>
          <cell r="I273">
            <v>45442</v>
          </cell>
          <cell r="J273">
            <v>215</v>
          </cell>
          <cell r="K273">
            <v>215</v>
          </cell>
          <cell r="L273">
            <v>45657</v>
          </cell>
          <cell r="M273">
            <v>0</v>
          </cell>
          <cell r="N273">
            <v>0</v>
          </cell>
          <cell r="O273">
            <v>17.916666666666668</v>
          </cell>
          <cell r="P273">
            <v>0</v>
          </cell>
          <cell r="Q273">
            <v>17.916666666666668</v>
          </cell>
        </row>
        <row r="274">
          <cell r="A274">
            <v>2683</v>
          </cell>
          <cell r="B274" t="str">
            <v>10EMP2683</v>
          </cell>
          <cell r="C274" t="str">
            <v>Karan Kumar</v>
          </cell>
          <cell r="D274" t="str">
            <v>Helper</v>
          </cell>
          <cell r="E274" t="str">
            <v>Worker</v>
          </cell>
          <cell r="F274" t="str">
            <v>Metalplast Industries FZE</v>
          </cell>
          <cell r="G274" t="str">
            <v>Metalplast</v>
          </cell>
          <cell r="H274" t="str">
            <v>Metalplast</v>
          </cell>
          <cell r="I274">
            <v>45449</v>
          </cell>
          <cell r="J274">
            <v>208</v>
          </cell>
          <cell r="K274">
            <v>208</v>
          </cell>
          <cell r="L274">
            <v>45657</v>
          </cell>
          <cell r="M274">
            <v>0</v>
          </cell>
          <cell r="N274">
            <v>0</v>
          </cell>
          <cell r="O274">
            <v>17.333333333333332</v>
          </cell>
          <cell r="P274">
            <v>0</v>
          </cell>
          <cell r="Q274">
            <v>17.333333333333332</v>
          </cell>
        </row>
        <row r="275">
          <cell r="A275">
            <v>2684</v>
          </cell>
          <cell r="B275" t="str">
            <v>10EMP2684</v>
          </cell>
          <cell r="C275" t="str">
            <v>Dheeraj</v>
          </cell>
          <cell r="D275" t="str">
            <v>Helper</v>
          </cell>
          <cell r="E275" t="str">
            <v>Worker</v>
          </cell>
          <cell r="F275" t="str">
            <v>Metalplast Industries FZE</v>
          </cell>
          <cell r="G275" t="str">
            <v>Metalplast</v>
          </cell>
          <cell r="H275" t="str">
            <v>Metalplast</v>
          </cell>
          <cell r="I275">
            <v>45449</v>
          </cell>
          <cell r="J275">
            <v>208</v>
          </cell>
          <cell r="K275">
            <v>208</v>
          </cell>
          <cell r="L275">
            <v>45657</v>
          </cell>
          <cell r="M275">
            <v>0</v>
          </cell>
          <cell r="N275">
            <v>0</v>
          </cell>
          <cell r="O275">
            <v>17.333333333333332</v>
          </cell>
          <cell r="P275">
            <v>0</v>
          </cell>
          <cell r="Q275">
            <v>17.333333333333332</v>
          </cell>
        </row>
        <row r="276">
          <cell r="A276">
            <v>2685</v>
          </cell>
          <cell r="B276" t="str">
            <v>10EMP2685</v>
          </cell>
          <cell r="C276" t="str">
            <v>Muhammad Zohaib Haider</v>
          </cell>
          <cell r="D276" t="str">
            <v>Helper</v>
          </cell>
          <cell r="E276" t="str">
            <v>Worker</v>
          </cell>
          <cell r="F276" t="str">
            <v>Metalplast Industries FZE</v>
          </cell>
          <cell r="G276" t="str">
            <v>Metalplast</v>
          </cell>
          <cell r="H276" t="str">
            <v>Metalplast</v>
          </cell>
          <cell r="I276">
            <v>45449</v>
          </cell>
          <cell r="J276">
            <v>208</v>
          </cell>
          <cell r="K276">
            <v>208</v>
          </cell>
          <cell r="L276">
            <v>45657</v>
          </cell>
          <cell r="M276">
            <v>0</v>
          </cell>
          <cell r="N276">
            <v>0</v>
          </cell>
          <cell r="O276">
            <v>17.333333333333332</v>
          </cell>
          <cell r="P276">
            <v>0</v>
          </cell>
          <cell r="Q276">
            <v>17.333333333333332</v>
          </cell>
        </row>
        <row r="277">
          <cell r="A277">
            <v>2687</v>
          </cell>
          <cell r="B277" t="str">
            <v>10EMP2687</v>
          </cell>
          <cell r="C277" t="str">
            <v>Shaheen Siraj Hunerkar</v>
          </cell>
          <cell r="D277" t="str">
            <v>MEP Draftsman</v>
          </cell>
          <cell r="E277" t="str">
            <v>Staff</v>
          </cell>
          <cell r="F277" t="str">
            <v>ZCC</v>
          </cell>
          <cell r="G277" t="str">
            <v>ZCC</v>
          </cell>
          <cell r="H277" t="str">
            <v>ZCC</v>
          </cell>
          <cell r="I277">
            <v>45456</v>
          </cell>
          <cell r="J277">
            <v>201</v>
          </cell>
          <cell r="K277">
            <v>201</v>
          </cell>
          <cell r="L277">
            <v>45657</v>
          </cell>
          <cell r="M277">
            <v>0</v>
          </cell>
          <cell r="N277">
            <v>0</v>
          </cell>
          <cell r="O277">
            <v>16.75</v>
          </cell>
          <cell r="P277">
            <v>0</v>
          </cell>
          <cell r="Q277">
            <v>16.75</v>
          </cell>
        </row>
        <row r="278">
          <cell r="A278">
            <v>2689</v>
          </cell>
          <cell r="B278" t="str">
            <v>10EMP2689</v>
          </cell>
          <cell r="C278" t="str">
            <v>Mohammad Salman</v>
          </cell>
          <cell r="D278" t="str">
            <v>Purchase Executive</v>
          </cell>
          <cell r="E278" t="str">
            <v>Staff</v>
          </cell>
          <cell r="F278" t="str">
            <v>ZCC</v>
          </cell>
          <cell r="G278" t="str">
            <v>ZCC</v>
          </cell>
          <cell r="H278" t="str">
            <v>ZCC</v>
          </cell>
          <cell r="I278">
            <v>45467</v>
          </cell>
          <cell r="J278">
            <v>190</v>
          </cell>
          <cell r="K278">
            <v>190</v>
          </cell>
          <cell r="L278">
            <v>45657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A279">
            <v>2690</v>
          </cell>
          <cell r="B279" t="str">
            <v>10EMP2690</v>
          </cell>
          <cell r="C279" t="str">
            <v>Joyce V Camposano</v>
          </cell>
          <cell r="D279" t="str">
            <v>Project Coordinator</v>
          </cell>
          <cell r="E279" t="str">
            <v>Staff</v>
          </cell>
          <cell r="F279" t="str">
            <v>Mulk Properties</v>
          </cell>
          <cell r="G279" t="str">
            <v>Mulk Properties</v>
          </cell>
          <cell r="H279" t="str">
            <v>Mulk Properties</v>
          </cell>
          <cell r="I279">
            <v>45468</v>
          </cell>
          <cell r="J279">
            <v>189</v>
          </cell>
          <cell r="K279">
            <v>189</v>
          </cell>
          <cell r="L279">
            <v>45657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A280">
            <v>2691</v>
          </cell>
          <cell r="B280" t="str">
            <v>10EMP2691</v>
          </cell>
          <cell r="C280" t="str">
            <v>Abu thahir</v>
          </cell>
          <cell r="D280" t="str">
            <v>Project Manager</v>
          </cell>
          <cell r="E280" t="str">
            <v>Staff</v>
          </cell>
          <cell r="F280" t="str">
            <v>Mulk Properties</v>
          </cell>
          <cell r="G280" t="str">
            <v>Mulk Properties</v>
          </cell>
          <cell r="H280" t="str">
            <v>Mulk Properties</v>
          </cell>
          <cell r="I280">
            <v>45474</v>
          </cell>
          <cell r="J280">
            <v>183</v>
          </cell>
          <cell r="K280">
            <v>183</v>
          </cell>
          <cell r="L280">
            <v>45657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A281">
            <v>2692</v>
          </cell>
          <cell r="B281" t="str">
            <v>10EMP2692</v>
          </cell>
          <cell r="C281" t="str">
            <v>Imran Ali</v>
          </cell>
          <cell r="D281" t="str">
            <v>Customs Officer</v>
          </cell>
          <cell r="E281" t="str">
            <v>Staff</v>
          </cell>
          <cell r="F281" t="str">
            <v>Alubond Middle East FZC</v>
          </cell>
          <cell r="G281" t="str">
            <v>Supply Chain (Eurocon)</v>
          </cell>
          <cell r="H281" t="str">
            <v>Logistics &amp; Customs</v>
          </cell>
          <cell r="I281">
            <v>45477</v>
          </cell>
          <cell r="J281">
            <v>180</v>
          </cell>
          <cell r="K281">
            <v>180</v>
          </cell>
          <cell r="L281">
            <v>45657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A282">
            <v>2695</v>
          </cell>
          <cell r="B282" t="str">
            <v>10EMP2695</v>
          </cell>
          <cell r="C282" t="str">
            <v>Sheikdawood Navaskhan</v>
          </cell>
          <cell r="D282" t="str">
            <v>Online QC</v>
          </cell>
          <cell r="E282" t="str">
            <v>Worker</v>
          </cell>
          <cell r="F282" t="str">
            <v>Alubond Middle East FZC</v>
          </cell>
          <cell r="G282" t="str">
            <v>QC (Eurocon)</v>
          </cell>
          <cell r="H282" t="str">
            <v>QC (ACP)</v>
          </cell>
          <cell r="I282">
            <v>45488</v>
          </cell>
          <cell r="J282">
            <v>169</v>
          </cell>
          <cell r="K282">
            <v>169</v>
          </cell>
          <cell r="L282">
            <v>45657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A283">
            <v>2696</v>
          </cell>
          <cell r="B283" t="str">
            <v>10EMP2696</v>
          </cell>
          <cell r="C283" t="str">
            <v>Mohd Abran Arif</v>
          </cell>
          <cell r="D283" t="str">
            <v>Junior Accountant</v>
          </cell>
          <cell r="E283" t="str">
            <v>Staff</v>
          </cell>
          <cell r="F283" t="str">
            <v>Alubond Middle East FZC</v>
          </cell>
          <cell r="G283" t="str">
            <v>ACP / CCL</v>
          </cell>
          <cell r="H283" t="str">
            <v>Finance &amp; Accounts</v>
          </cell>
          <cell r="I283">
            <v>45490</v>
          </cell>
          <cell r="J283">
            <v>167</v>
          </cell>
          <cell r="K283">
            <v>167</v>
          </cell>
          <cell r="L283">
            <v>45657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</row>
        <row r="284">
          <cell r="A284">
            <v>2699</v>
          </cell>
          <cell r="B284" t="str">
            <v>10EMP2699</v>
          </cell>
          <cell r="C284" t="str">
            <v>Sayuri Bhagyawi Jayarathna</v>
          </cell>
          <cell r="D284" t="str">
            <v>Sponsorship Manager</v>
          </cell>
          <cell r="E284" t="str">
            <v>Staff</v>
          </cell>
          <cell r="F284" t="str">
            <v>T Ten Sports Management FZCO</v>
          </cell>
          <cell r="G284" t="str">
            <v>T Ten Sports Management FZCO</v>
          </cell>
          <cell r="H284" t="str">
            <v>T Ten Sports Management FZCO</v>
          </cell>
          <cell r="I284">
            <v>45505</v>
          </cell>
          <cell r="J284">
            <v>152</v>
          </cell>
          <cell r="K284">
            <v>152</v>
          </cell>
          <cell r="L284">
            <v>45657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A285">
            <v>2700</v>
          </cell>
          <cell r="B285" t="str">
            <v>10EMP2700</v>
          </cell>
          <cell r="C285" t="str">
            <v>Kuthbudeen Shaik Allaudeen</v>
          </cell>
          <cell r="D285" t="str">
            <v xml:space="preserve">Trailer Driver </v>
          </cell>
          <cell r="E285" t="str">
            <v>Support Staff</v>
          </cell>
          <cell r="F285" t="str">
            <v>Alubond Middle East FZC</v>
          </cell>
          <cell r="G285" t="str">
            <v>Supply Chain (Eurocon)</v>
          </cell>
          <cell r="H285" t="str">
            <v>Logistics</v>
          </cell>
          <cell r="I285">
            <v>45505</v>
          </cell>
          <cell r="J285">
            <v>152</v>
          </cell>
          <cell r="K285">
            <v>152</v>
          </cell>
          <cell r="L285">
            <v>45657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>
            <v>2702</v>
          </cell>
          <cell r="B286" t="str">
            <v>10EMP2702</v>
          </cell>
          <cell r="C286" t="str">
            <v>Nitheesh PV</v>
          </cell>
          <cell r="D286" t="str">
            <v>MEP Supervisor</v>
          </cell>
          <cell r="E286" t="str">
            <v>Staff</v>
          </cell>
          <cell r="F286" t="str">
            <v>Mulk Holdings FZC</v>
          </cell>
          <cell r="G286" t="str">
            <v>MH Shared Services</v>
          </cell>
          <cell r="H286" t="str">
            <v>General Maintenance</v>
          </cell>
          <cell r="I286">
            <v>45518</v>
          </cell>
          <cell r="J286">
            <v>139</v>
          </cell>
          <cell r="K286">
            <v>139</v>
          </cell>
          <cell r="L286">
            <v>45657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A287">
            <v>2703</v>
          </cell>
          <cell r="B287" t="str">
            <v>10EMP2703</v>
          </cell>
          <cell r="C287" t="str">
            <v>Mohammed Sharique Anwar</v>
          </cell>
          <cell r="D287" t="str">
            <v>Sales Manager</v>
          </cell>
          <cell r="E287" t="str">
            <v>Staff</v>
          </cell>
          <cell r="F287" t="str">
            <v>Unicube</v>
          </cell>
          <cell r="G287" t="str">
            <v>Unicube</v>
          </cell>
          <cell r="H287" t="str">
            <v>Unicube</v>
          </cell>
          <cell r="I287">
            <v>45526</v>
          </cell>
          <cell r="J287">
            <v>131</v>
          </cell>
          <cell r="K287">
            <v>131</v>
          </cell>
          <cell r="L287">
            <v>45657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A288">
            <v>2705</v>
          </cell>
          <cell r="B288" t="str">
            <v>10EMP2705</v>
          </cell>
          <cell r="C288" t="str">
            <v>Pradeep Kozhundil</v>
          </cell>
          <cell r="D288" t="str">
            <v>Senior Accountant</v>
          </cell>
          <cell r="E288" t="str">
            <v>Staff</v>
          </cell>
          <cell r="F288" t="str">
            <v>ZCC</v>
          </cell>
          <cell r="G288" t="str">
            <v>ZCC</v>
          </cell>
          <cell r="H288" t="str">
            <v>ZCC</v>
          </cell>
          <cell r="I288">
            <v>45524</v>
          </cell>
          <cell r="J288">
            <v>133</v>
          </cell>
          <cell r="K288">
            <v>133</v>
          </cell>
          <cell r="L288">
            <v>45657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2706</v>
          </cell>
          <cell r="B289" t="str">
            <v>10EMP2706</v>
          </cell>
          <cell r="C289" t="str">
            <v>Deepak Sasidhara Panicker</v>
          </cell>
          <cell r="D289" t="str">
            <v>Senior Accountant</v>
          </cell>
          <cell r="E289" t="str">
            <v>Staff</v>
          </cell>
          <cell r="F289" t="str">
            <v>Mulk Holdings FZC</v>
          </cell>
          <cell r="G289" t="str">
            <v>Metalplast</v>
          </cell>
          <cell r="H289" t="str">
            <v>M/P - Finance &amp; Accounts</v>
          </cell>
          <cell r="I289">
            <v>45539</v>
          </cell>
          <cell r="J289">
            <v>118</v>
          </cell>
          <cell r="K289">
            <v>118</v>
          </cell>
          <cell r="L289">
            <v>45657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2707</v>
          </cell>
          <cell r="B290" t="str">
            <v>10EMP2707</v>
          </cell>
          <cell r="C290" t="str">
            <v>Mosim Khan</v>
          </cell>
          <cell r="D290" t="str">
            <v>Senior Supervisor</v>
          </cell>
          <cell r="E290" t="str">
            <v>Staff</v>
          </cell>
          <cell r="F290" t="str">
            <v>Mulk Properties</v>
          </cell>
          <cell r="G290" t="str">
            <v>Mulk Properties</v>
          </cell>
          <cell r="H290" t="str">
            <v>Mulk Properties</v>
          </cell>
          <cell r="I290">
            <v>45481</v>
          </cell>
          <cell r="J290">
            <v>176</v>
          </cell>
          <cell r="K290">
            <v>176</v>
          </cell>
          <cell r="L290">
            <v>45657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A291">
            <v>2708</v>
          </cell>
          <cell r="B291" t="str">
            <v>10EMP2708</v>
          </cell>
          <cell r="C291" t="str">
            <v>Samreen Mansoor Syed</v>
          </cell>
          <cell r="D291" t="str">
            <v>Front Office Executive</v>
          </cell>
          <cell r="E291" t="str">
            <v>Staff</v>
          </cell>
          <cell r="F291" t="str">
            <v>MH Shared Services</v>
          </cell>
          <cell r="G291" t="str">
            <v>MH Shared Services</v>
          </cell>
          <cell r="H291" t="str">
            <v>HR &amp; Admin</v>
          </cell>
          <cell r="I291">
            <v>45533</v>
          </cell>
          <cell r="J291">
            <v>124</v>
          </cell>
          <cell r="K291">
            <v>124</v>
          </cell>
          <cell r="L291">
            <v>45657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A292">
            <v>2709</v>
          </cell>
          <cell r="B292" t="str">
            <v>10EMP2709</v>
          </cell>
          <cell r="C292" t="str">
            <v>Sandeep Kumar Verma</v>
          </cell>
          <cell r="D292" t="str">
            <v>Assistant Manager QC/CCL</v>
          </cell>
          <cell r="E292" t="str">
            <v>Staff</v>
          </cell>
          <cell r="F292" t="str">
            <v>Quality Contoller</v>
          </cell>
          <cell r="G292" t="str">
            <v>Alubond Middle East FZC</v>
          </cell>
          <cell r="H292" t="str">
            <v>QC (Eurocon)</v>
          </cell>
          <cell r="I292">
            <v>45533</v>
          </cell>
          <cell r="J292">
            <v>124</v>
          </cell>
          <cell r="K292">
            <v>124</v>
          </cell>
          <cell r="L292">
            <v>45657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A293">
            <v>2710</v>
          </cell>
          <cell r="B293" t="str">
            <v>10EMP2710</v>
          </cell>
          <cell r="C293" t="str">
            <v>Midhun Parambathe Purayil</v>
          </cell>
          <cell r="D293" t="str">
            <v>Helper</v>
          </cell>
          <cell r="E293" t="str">
            <v>Worker</v>
          </cell>
          <cell r="F293" t="str">
            <v>Alubond Middle East FZC</v>
          </cell>
          <cell r="G293" t="str">
            <v>ACP</v>
          </cell>
          <cell r="H293" t="str">
            <v>Production (ACP)</v>
          </cell>
          <cell r="I293">
            <v>45537</v>
          </cell>
          <cell r="J293">
            <v>120</v>
          </cell>
          <cell r="K293">
            <v>120</v>
          </cell>
          <cell r="L293">
            <v>45657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A294">
            <v>2711</v>
          </cell>
          <cell r="B294" t="str">
            <v>10EMP2711</v>
          </cell>
          <cell r="C294" t="str">
            <v>Mohd Hafeezurrahman</v>
          </cell>
          <cell r="D294" t="str">
            <v>Office Boy</v>
          </cell>
          <cell r="E294" t="str">
            <v>Worker</v>
          </cell>
          <cell r="F294" t="str">
            <v>Mulk Holdings FZC</v>
          </cell>
          <cell r="G294" t="str">
            <v>Eurocon Service Dpt</v>
          </cell>
          <cell r="H294" t="str">
            <v>Housekeeping</v>
          </cell>
          <cell r="I294">
            <v>45541</v>
          </cell>
          <cell r="J294">
            <v>116</v>
          </cell>
          <cell r="K294">
            <v>116</v>
          </cell>
          <cell r="L294">
            <v>45657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A295">
            <v>2712</v>
          </cell>
          <cell r="B295" t="str">
            <v>10EMP2712</v>
          </cell>
          <cell r="C295" t="str">
            <v>Imaad Ali Khan</v>
          </cell>
          <cell r="D295" t="str">
            <v>Sales Manager</v>
          </cell>
          <cell r="E295" t="str">
            <v>Staff</v>
          </cell>
          <cell r="F295" t="str">
            <v>Alubond Middle East FZC</v>
          </cell>
          <cell r="G295" t="str">
            <v>Export Sales</v>
          </cell>
          <cell r="H295" t="str">
            <v>Sales &amp; Marketing -KSA</v>
          </cell>
          <cell r="I295">
            <v>45536</v>
          </cell>
          <cell r="J295">
            <v>121</v>
          </cell>
          <cell r="K295">
            <v>121</v>
          </cell>
          <cell r="L295">
            <v>45657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A296">
            <v>2713</v>
          </cell>
          <cell r="B296" t="str">
            <v>10EMP2713</v>
          </cell>
          <cell r="C296" t="str">
            <v>Clement L Stremel</v>
          </cell>
          <cell r="D296" t="str">
            <v>General Manager</v>
          </cell>
          <cell r="E296" t="str">
            <v>Staff</v>
          </cell>
          <cell r="F296" t="str">
            <v>Alubond USA</v>
          </cell>
          <cell r="G296" t="str">
            <v>Export Sales</v>
          </cell>
          <cell r="H296" t="str">
            <v>Sales &amp; Marketing -USA</v>
          </cell>
          <cell r="I296">
            <v>45474</v>
          </cell>
          <cell r="J296">
            <v>183</v>
          </cell>
          <cell r="K296">
            <v>183</v>
          </cell>
          <cell r="L296">
            <v>45657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A297">
            <v>2714</v>
          </cell>
          <cell r="B297" t="str">
            <v>10EMP2714</v>
          </cell>
          <cell r="C297" t="str">
            <v>Sarfaraz Khan</v>
          </cell>
          <cell r="D297" t="str">
            <v>Commercial Manager</v>
          </cell>
          <cell r="E297" t="str">
            <v>Staff</v>
          </cell>
          <cell r="F297" t="str">
            <v>Alubond USA</v>
          </cell>
          <cell r="G297" t="str">
            <v>Export Sales</v>
          </cell>
          <cell r="H297" t="str">
            <v>Sales &amp; Marketing -USA</v>
          </cell>
          <cell r="I297">
            <v>45474</v>
          </cell>
          <cell r="J297">
            <v>183</v>
          </cell>
          <cell r="K297">
            <v>183</v>
          </cell>
          <cell r="L297">
            <v>45657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A298">
            <v>2715</v>
          </cell>
          <cell r="B298" t="str">
            <v>10EMP2715</v>
          </cell>
          <cell r="C298" t="str">
            <v>Paras Kumar Rakesh Kumar</v>
          </cell>
          <cell r="D298" t="str">
            <v>Helper</v>
          </cell>
          <cell r="E298" t="str">
            <v>Worker</v>
          </cell>
          <cell r="F298" t="str">
            <v>Metalplast Industries FZE</v>
          </cell>
          <cell r="G298" t="str">
            <v>Metalplast</v>
          </cell>
          <cell r="H298" t="str">
            <v>Metalplast</v>
          </cell>
          <cell r="I298">
            <v>45551</v>
          </cell>
          <cell r="J298">
            <v>106</v>
          </cell>
          <cell r="K298">
            <v>106</v>
          </cell>
          <cell r="L298">
            <v>45657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A299">
            <v>2716</v>
          </cell>
          <cell r="B299" t="str">
            <v>10EMP2716</v>
          </cell>
          <cell r="C299" t="str">
            <v>Satish Chandher Balwinder</v>
          </cell>
          <cell r="D299" t="str">
            <v>Helper</v>
          </cell>
          <cell r="E299" t="str">
            <v>Worker</v>
          </cell>
          <cell r="F299" t="str">
            <v>Metalplast Industries FZE</v>
          </cell>
          <cell r="G299" t="str">
            <v>Metalplast</v>
          </cell>
          <cell r="H299" t="str">
            <v>Metalplast</v>
          </cell>
          <cell r="I299">
            <v>45551</v>
          </cell>
          <cell r="J299">
            <v>106</v>
          </cell>
          <cell r="K299">
            <v>106</v>
          </cell>
          <cell r="L299">
            <v>45657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</row>
        <row r="300">
          <cell r="A300">
            <v>2717</v>
          </cell>
          <cell r="B300" t="str">
            <v>10EMP2717</v>
          </cell>
          <cell r="C300" t="str">
            <v>Vijay Kumar Des Raj</v>
          </cell>
          <cell r="D300" t="str">
            <v>Helper</v>
          </cell>
          <cell r="E300" t="str">
            <v>Worker</v>
          </cell>
          <cell r="F300" t="str">
            <v>Metalplast Industries FZE</v>
          </cell>
          <cell r="G300" t="str">
            <v>Metalplast</v>
          </cell>
          <cell r="H300" t="str">
            <v>Metalplast</v>
          </cell>
          <cell r="I300">
            <v>45551</v>
          </cell>
          <cell r="J300">
            <v>106</v>
          </cell>
          <cell r="K300">
            <v>106</v>
          </cell>
          <cell r="L300">
            <v>45657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A301">
            <v>2718</v>
          </cell>
          <cell r="B301" t="str">
            <v>10EMP2718</v>
          </cell>
          <cell r="C301" t="str">
            <v>Nitesh Kumar</v>
          </cell>
          <cell r="D301" t="str">
            <v>CCL operator</v>
          </cell>
          <cell r="E301" t="str">
            <v>Worker</v>
          </cell>
          <cell r="F301" t="str">
            <v>Alubond Middle East FZC</v>
          </cell>
          <cell r="G301" t="str">
            <v>CCL</v>
          </cell>
          <cell r="H301" t="str">
            <v>Production (CCL)</v>
          </cell>
          <cell r="I301">
            <v>45551</v>
          </cell>
          <cell r="J301">
            <v>106</v>
          </cell>
          <cell r="K301">
            <v>106</v>
          </cell>
          <cell r="L301">
            <v>45657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A302">
            <v>2719</v>
          </cell>
          <cell r="B302" t="str">
            <v>10EMP2719</v>
          </cell>
          <cell r="C302" t="str">
            <v>Moji Ram</v>
          </cell>
          <cell r="D302" t="str">
            <v>Helper</v>
          </cell>
          <cell r="E302" t="str">
            <v>Worker</v>
          </cell>
          <cell r="F302" t="str">
            <v>Metalplast Industries FZE</v>
          </cell>
          <cell r="G302" t="str">
            <v>Metalplast</v>
          </cell>
          <cell r="H302" t="str">
            <v>Metalplast</v>
          </cell>
          <cell r="I302">
            <v>45559</v>
          </cell>
          <cell r="J302">
            <v>98</v>
          </cell>
          <cell r="K302">
            <v>98</v>
          </cell>
          <cell r="L302">
            <v>45657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A303">
            <v>2720</v>
          </cell>
          <cell r="B303" t="str">
            <v>10EMP2720</v>
          </cell>
          <cell r="C303" t="str">
            <v>Motius Micheal</v>
          </cell>
          <cell r="D303" t="str">
            <v>Helper</v>
          </cell>
          <cell r="E303" t="str">
            <v>Worker</v>
          </cell>
          <cell r="F303" t="str">
            <v>Alubond Middle East FZC</v>
          </cell>
          <cell r="G303" t="str">
            <v>ACP</v>
          </cell>
          <cell r="H303" t="str">
            <v>Production (ACP)</v>
          </cell>
          <cell r="I303">
            <v>45559</v>
          </cell>
          <cell r="J303">
            <v>98</v>
          </cell>
          <cell r="K303">
            <v>98</v>
          </cell>
          <cell r="L303">
            <v>45657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A304">
            <v>2721</v>
          </cell>
          <cell r="B304" t="str">
            <v>10EMP2721</v>
          </cell>
          <cell r="C304" t="str">
            <v>Sachin Kumar Lakhan Singh</v>
          </cell>
          <cell r="D304" t="str">
            <v>Helper</v>
          </cell>
          <cell r="E304" t="str">
            <v>Worker</v>
          </cell>
          <cell r="F304" t="str">
            <v>Alubond Middle East FZC</v>
          </cell>
          <cell r="G304" t="str">
            <v>ACP</v>
          </cell>
          <cell r="H304" t="str">
            <v>Production (ACP)</v>
          </cell>
          <cell r="I304">
            <v>45559</v>
          </cell>
          <cell r="J304">
            <v>98</v>
          </cell>
          <cell r="K304">
            <v>98</v>
          </cell>
          <cell r="L304">
            <v>45657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>
            <v>2724</v>
          </cell>
          <cell r="B305" t="str">
            <v>10EMP2724</v>
          </cell>
          <cell r="C305" t="str">
            <v>Bijeeshkumar Valladiyil Gopi</v>
          </cell>
          <cell r="D305" t="str">
            <v>Maintenance Supervisor</v>
          </cell>
          <cell r="E305" t="str">
            <v>Staff</v>
          </cell>
          <cell r="F305" t="str">
            <v>Alubond Middle East FZC</v>
          </cell>
          <cell r="G305" t="str">
            <v>Plant Maintenance</v>
          </cell>
          <cell r="H305" t="str">
            <v>Maintenance</v>
          </cell>
          <cell r="I305">
            <v>45572</v>
          </cell>
          <cell r="J305">
            <v>85</v>
          </cell>
          <cell r="K305">
            <v>85</v>
          </cell>
          <cell r="L305">
            <v>45657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2725</v>
          </cell>
          <cell r="B306" t="str">
            <v>10EMP2725</v>
          </cell>
          <cell r="C306" t="str">
            <v>Vipin Ponnumani</v>
          </cell>
          <cell r="D306" t="str">
            <v>End Cutting Operator</v>
          </cell>
          <cell r="E306" t="str">
            <v>Worker</v>
          </cell>
          <cell r="F306" t="str">
            <v>Alubond Middle East FZC</v>
          </cell>
          <cell r="G306" t="str">
            <v>ACP</v>
          </cell>
          <cell r="H306" t="str">
            <v>Production (ACP)</v>
          </cell>
          <cell r="I306">
            <v>45589</v>
          </cell>
          <cell r="J306">
            <v>68</v>
          </cell>
          <cell r="K306">
            <v>68</v>
          </cell>
          <cell r="L306">
            <v>45657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>
            <v>2726</v>
          </cell>
          <cell r="B307" t="str">
            <v>10EMP2726</v>
          </cell>
          <cell r="C307" t="str">
            <v>MD Ramjan Mrodha</v>
          </cell>
          <cell r="D307" t="str">
            <v>Office boy</v>
          </cell>
          <cell r="E307" t="str">
            <v>Worker</v>
          </cell>
          <cell r="F307" t="str">
            <v>Mulk Holdings FZC</v>
          </cell>
          <cell r="G307" t="str">
            <v>Eurocon Service Dpt</v>
          </cell>
          <cell r="H307" t="str">
            <v>Housekeeping</v>
          </cell>
          <cell r="I307">
            <v>45561</v>
          </cell>
          <cell r="J307">
            <v>96</v>
          </cell>
          <cell r="K307">
            <v>96</v>
          </cell>
          <cell r="L307">
            <v>45657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A308">
            <v>2727</v>
          </cell>
          <cell r="B308" t="str">
            <v>10EMP2727</v>
          </cell>
          <cell r="C308" t="str">
            <v>Shais Tomy</v>
          </cell>
          <cell r="D308" t="str">
            <v>QC Coordinator</v>
          </cell>
          <cell r="E308" t="str">
            <v>Staff</v>
          </cell>
          <cell r="F308" t="str">
            <v>Alubond Middle East FZC</v>
          </cell>
          <cell r="G308" t="str">
            <v>ACP</v>
          </cell>
          <cell r="H308" t="str">
            <v>Production (ACP)</v>
          </cell>
          <cell r="I308">
            <v>45580</v>
          </cell>
          <cell r="J308">
            <v>77</v>
          </cell>
          <cell r="K308">
            <v>77</v>
          </cell>
          <cell r="L308">
            <v>45657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A309">
            <v>2728</v>
          </cell>
          <cell r="B309" t="str">
            <v>10EMP2728</v>
          </cell>
          <cell r="C309" t="str">
            <v>Nicole Anne Bacay</v>
          </cell>
          <cell r="D309" t="str">
            <v>Front Office Executive</v>
          </cell>
          <cell r="E309" t="str">
            <v>Staff</v>
          </cell>
          <cell r="F309" t="str">
            <v>Executive</v>
          </cell>
          <cell r="G309" t="str">
            <v>MH Shared Services</v>
          </cell>
          <cell r="H309" t="str">
            <v>MH Shared Services</v>
          </cell>
          <cell r="I309">
            <v>45582</v>
          </cell>
          <cell r="J309">
            <v>75</v>
          </cell>
          <cell r="K309">
            <v>75</v>
          </cell>
          <cell r="L309">
            <v>45657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0">
          <cell r="A310">
            <v>2729</v>
          </cell>
          <cell r="B310" t="str">
            <v>10EMP2729</v>
          </cell>
          <cell r="C310" t="str">
            <v>Sakhawat Ali</v>
          </cell>
          <cell r="D310" t="str">
            <v>Tile/Marble Mason</v>
          </cell>
          <cell r="E310" t="str">
            <v>Worker</v>
          </cell>
          <cell r="F310" t="str">
            <v>Unicube</v>
          </cell>
          <cell r="G310" t="str">
            <v>Unicube</v>
          </cell>
          <cell r="H310" t="str">
            <v>Unicube</v>
          </cell>
          <cell r="I310">
            <v>45586</v>
          </cell>
          <cell r="J310">
            <v>71</v>
          </cell>
          <cell r="K310">
            <v>71</v>
          </cell>
          <cell r="L310">
            <v>45657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2730</v>
          </cell>
          <cell r="B311" t="str">
            <v>10EMP2730</v>
          </cell>
          <cell r="C311" t="str">
            <v>Sarfaraj Mohammad Yusuf</v>
          </cell>
          <cell r="D311" t="str">
            <v>Finishing Mason</v>
          </cell>
          <cell r="E311" t="str">
            <v>Worker</v>
          </cell>
          <cell r="F311" t="str">
            <v>Unicube</v>
          </cell>
          <cell r="G311" t="str">
            <v>Unicube</v>
          </cell>
          <cell r="H311" t="str">
            <v>Unicube</v>
          </cell>
          <cell r="I311">
            <v>45586</v>
          </cell>
          <cell r="J311">
            <v>71</v>
          </cell>
          <cell r="K311">
            <v>71</v>
          </cell>
          <cell r="L311">
            <v>45657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A312">
            <v>2731</v>
          </cell>
          <cell r="B312" t="str">
            <v>10EMP2731</v>
          </cell>
          <cell r="C312" t="str">
            <v>Mohammed Ehsan</v>
          </cell>
          <cell r="D312" t="str">
            <v>Tile/Marble Mason</v>
          </cell>
          <cell r="E312" t="str">
            <v>Worker</v>
          </cell>
          <cell r="F312" t="str">
            <v>Unicube</v>
          </cell>
          <cell r="G312" t="str">
            <v>Unicube</v>
          </cell>
          <cell r="H312" t="str">
            <v>Unicube</v>
          </cell>
          <cell r="I312">
            <v>45586</v>
          </cell>
          <cell r="J312">
            <v>71</v>
          </cell>
          <cell r="K312">
            <v>71</v>
          </cell>
          <cell r="L312">
            <v>45657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B328D-2D33-45B5-B8A4-B4B72E837412}" name="Table1" displayName="Table1" ref="A1:P360" totalsRowShown="0" headerRowBorderDxfId="50" tableBorderDxfId="49">
  <autoFilter ref="A1:P360" xr:uid="{EDBB328D-2D33-45B5-B8A4-B4B72E837412}"/>
  <tableColumns count="16">
    <tableColumn id="1" xr3:uid="{1F6A0EBE-331A-4C3D-B3AA-0B9C84BF9259}" name="Employee ID" dataDxfId="48"/>
    <tableColumn id="2" xr3:uid="{27AC84AF-F932-422C-A278-75F2991C97B1}" name="Name" dataDxfId="47">
      <calculatedColumnFormula>IFERROR(VLOOKUP(A2,'[1]Master File'!$A$2:$C$312,3,0)," ")</calculatedColumnFormula>
    </tableColumn>
    <tableColumn id="3" xr3:uid="{6999641D-1214-4C80-9AC5-FB1CDAD0FCE7}" name="Leave Type" dataDxfId="46"/>
    <tableColumn id="4" xr3:uid="{55C4ADEA-FFDA-4D45-A63B-057A7CC5A6E3}" name="Start Date" dataDxfId="45"/>
    <tableColumn id="5" xr3:uid="{D58708F8-39A8-4C0A-85AF-FD0F735361E3}" name="End Date" dataDxfId="44"/>
    <tableColumn id="6" xr3:uid="{EB56C6D4-2AB4-4E02-8E20-21CC310A2683}" name="Number of Days" dataDxfId="43">
      <calculatedColumnFormula>IF(OR(D2="",E2 =""), "", E2 - D2+ 1)</calculatedColumnFormula>
    </tableColumn>
    <tableColumn id="7" xr3:uid="{568A4998-DA22-4B55-AD2F-154B5D2DD43E}" name="Rejoining Date" dataDxfId="42"/>
    <tableColumn id="8" xr3:uid="{3CF37746-75C5-4D57-B542-E78A509680B3}" name="Leave Status"/>
    <tableColumn id="9" xr3:uid="{73EA8D13-783A-4201-9BA2-8A79DA64D9EC}" name="Status as on" dataDxfId="41">
      <calculatedColumnFormula>IF(AND(G2="", E2="", D2=""), "", IF(D2&gt;TODAY(), "Applied", IF(G2&lt;&gt;"", IF(G2&lt;E2, "Early Rejoin", "Rejoined"), IF(E2&gt;TODAY(), "On Leave", "Not Rejoined"))))</calculatedColumnFormula>
    </tableColumn>
    <tableColumn id="10" xr3:uid="{15B708AB-CD99-4292-84FF-88C7E4C230EB}" name="Leave Balance "/>
    <tableColumn id="11" xr3:uid="{47918AAD-B98A-4432-851A-6A7CE30FC42D}" name="Current Leave Balance"/>
    <tableColumn id="12" xr3:uid="{A820B84F-7761-46BD-B0A3-2B7A4E672D78}" name="Sort Order"/>
    <tableColumn id="13" xr3:uid="{6DB21630-A552-4584-926B-414B37F803D7}" name="Filter Leave Type:"/>
    <tableColumn id="14" xr3:uid="{1AD672DB-AFD4-4C5B-B24E-B831D1A8B72C}" name="Rejoin alert" dataDxfId="40">
      <calculatedColumnFormula>IF(AND(E2&lt;&gt;"", E2&gt;=TODAY(), E2&lt;=TODAY()+3), "Rejoin Follow Up", "")</calculatedColumnFormula>
    </tableColumn>
    <tableColumn id="15" xr3:uid="{EA5AF980-1750-4272-9A8E-2CB118D5E4CB}" name="Extende Days" dataDxfId="39">
      <calculatedColumnFormula>IF(AND(G2&lt;&gt;"", G2 &gt; E2, (G2 - E2) &lt;&gt; 1), G2 - E2, "")</calculatedColumnFormula>
    </tableColumn>
    <tableColumn id="16" xr3:uid="{EBF08F88-EBC0-47E9-A45C-6D0FC21F13A2}" name="Remanr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60"/>
  <sheetViews>
    <sheetView tabSelected="1" topLeftCell="A335" zoomScaleNormal="100" workbookViewId="0">
      <selection activeCell="A349" sqref="A349"/>
    </sheetView>
  </sheetViews>
  <sheetFormatPr defaultRowHeight="14.4" x14ac:dyDescent="0.3"/>
  <cols>
    <col min="1" max="1" width="18" customWidth="1"/>
    <col min="2" max="2" width="48.109375" bestFit="1" customWidth="1"/>
    <col min="3" max="4" width="18" customWidth="1"/>
    <col min="5" max="5" width="18" style="63" customWidth="1"/>
    <col min="6" max="6" width="19.33203125" customWidth="1"/>
    <col min="7" max="7" width="18" customWidth="1"/>
    <col min="8" max="8" width="18" hidden="1" customWidth="1"/>
    <col min="9" max="9" width="30.6640625" customWidth="1"/>
    <col min="10" max="11" width="30.6640625" hidden="1" customWidth="1"/>
    <col min="12" max="13" width="18" hidden="1" customWidth="1"/>
    <col min="14" max="14" width="20.109375" bestFit="1" customWidth="1"/>
    <col min="15" max="15" width="17.5546875" customWidth="1"/>
    <col min="16" max="16" width="45.5546875" bestFit="1" customWidth="1"/>
  </cols>
  <sheetData>
    <row r="1" spans="1:16" ht="16.2" thickBot="1" x14ac:dyDescent="0.35">
      <c r="A1" s="26" t="s">
        <v>0</v>
      </c>
      <c r="B1" s="27" t="s">
        <v>1</v>
      </c>
      <c r="C1" s="27" t="s">
        <v>2</v>
      </c>
      <c r="D1" s="66" t="s">
        <v>3</v>
      </c>
      <c r="E1" s="59" t="s">
        <v>4</v>
      </c>
      <c r="F1" s="27" t="s">
        <v>9</v>
      </c>
      <c r="G1" s="65" t="s">
        <v>5</v>
      </c>
      <c r="H1" s="27" t="s">
        <v>6</v>
      </c>
      <c r="I1" s="27" t="s">
        <v>10</v>
      </c>
      <c r="J1" s="27" t="s">
        <v>11</v>
      </c>
      <c r="K1" s="27" t="s">
        <v>12</v>
      </c>
      <c r="L1" s="28" t="s">
        <v>7</v>
      </c>
      <c r="M1" s="29" t="s">
        <v>8</v>
      </c>
      <c r="N1" s="30" t="s">
        <v>26</v>
      </c>
      <c r="O1" s="30" t="s">
        <v>27</v>
      </c>
      <c r="P1" s="44" t="s">
        <v>604</v>
      </c>
    </row>
    <row r="2" spans="1:16" ht="15.6" x14ac:dyDescent="0.3">
      <c r="A2" s="6">
        <v>2120</v>
      </c>
      <c r="B2" s="7" t="str">
        <f>IFERROR(VLOOKUP(A2,'[1]Master File'!$A$2:$C$312,3,0)," ")</f>
        <v>Siraj Ahmad</v>
      </c>
      <c r="C2" s="2" t="s">
        <v>15</v>
      </c>
      <c r="D2" s="8">
        <v>45607</v>
      </c>
      <c r="E2" s="60">
        <v>45667</v>
      </c>
      <c r="F2" s="7">
        <f t="shared" ref="F2:F32" si="0">IF(OR(D2="",E2 =""), "", E2 - D2+ 1)</f>
        <v>61</v>
      </c>
      <c r="G2" s="9">
        <v>45672</v>
      </c>
      <c r="H2" s="31" t="str">
        <f>IF(G2="", "Not Rejoined", "Rejoined")</f>
        <v>Rejoined</v>
      </c>
      <c r="I2" s="10" t="str">
        <f t="shared" ref="I2:I32" ca="1" si="1">IF(AND(G2="", E2="", D2=""), "", IF(D2&gt;TODAY(), "Applied", IF(G2&lt;&gt;"", IF(G2&lt;E2, "Early Rejoin", "Rejoined"), IF(E2&gt;TODAY(), "On Leave", "Not Rejoined"))))</f>
        <v>Rejoined</v>
      </c>
      <c r="J2" s="33"/>
      <c r="K2" s="33"/>
      <c r="L2" s="7">
        <f>IF(H2="Not Rejoined", 0, 1)</f>
        <v>1</v>
      </c>
      <c r="M2" s="7" t="e">
        <f>IF(OR(#REF!="", C2=#REF!), 1, 0)</f>
        <v>#REF!</v>
      </c>
      <c r="N2" s="10" t="str">
        <f t="shared" ref="N2:N32" ca="1" si="2">IF(AND(E2&lt;&gt;"", E2&gt;=TODAY(), E2&lt;=TODAY()+3), "Rejoin Follow Up", "")</f>
        <v/>
      </c>
      <c r="O2" s="11">
        <f t="shared" ref="O2:O41" si="3">IF(AND(G2&lt;&gt;"", G2 &gt; E2, (G2 - E2) &lt;&gt; 1), G2 - E2, "")</f>
        <v>5</v>
      </c>
    </row>
    <row r="3" spans="1:16" ht="15.6" x14ac:dyDescent="0.3">
      <c r="A3" s="6">
        <v>2554</v>
      </c>
      <c r="B3" s="1" t="str">
        <f>IFERROR(VLOOKUP(A3,'[1]Master File'!$A$2:$C$312,3,0)," ")</f>
        <v>Sheikh Shahid</v>
      </c>
      <c r="C3" s="2" t="s">
        <v>15</v>
      </c>
      <c r="D3" s="5">
        <v>45611</v>
      </c>
      <c r="E3" s="61">
        <v>45670</v>
      </c>
      <c r="F3" s="1">
        <f t="shared" si="0"/>
        <v>60</v>
      </c>
      <c r="G3" s="9">
        <v>45672</v>
      </c>
      <c r="H3" s="2"/>
      <c r="I3" s="10" t="str">
        <f t="shared" ca="1" si="1"/>
        <v>Rejoined</v>
      </c>
      <c r="J3" s="2"/>
      <c r="K3" s="2"/>
      <c r="L3" s="2"/>
      <c r="M3" s="2"/>
      <c r="N3" s="10" t="str">
        <f t="shared" ca="1" si="2"/>
        <v/>
      </c>
      <c r="O3" s="11">
        <f t="shared" si="3"/>
        <v>2</v>
      </c>
    </row>
    <row r="4" spans="1:16" ht="15.6" x14ac:dyDescent="0.3">
      <c r="A4" s="6">
        <v>232</v>
      </c>
      <c r="B4" s="1" t="str">
        <f>IFERROR(VLOOKUP(A4,'[1]Master File'!$A$2:$C$312,3,0)," ")</f>
        <v>Ruhul Amin Haian Saiyal</v>
      </c>
      <c r="C4" s="2" t="s">
        <v>15</v>
      </c>
      <c r="D4" s="5">
        <v>45613</v>
      </c>
      <c r="E4" s="61">
        <v>45672</v>
      </c>
      <c r="F4" s="1">
        <f t="shared" si="0"/>
        <v>60</v>
      </c>
      <c r="G4" s="9">
        <v>45676</v>
      </c>
      <c r="H4" s="32" t="str">
        <f>IF(G4="", "Not Rejoined", "Rejoined")</f>
        <v>Rejoined</v>
      </c>
      <c r="I4" s="10" t="str">
        <f t="shared" ca="1" si="1"/>
        <v>Rejoined</v>
      </c>
      <c r="J4" s="35">
        <f>IFERROR(VLOOKUP(A4,'[1]Master File'!$A$2:$Q$312,17,0)," ")</f>
        <v>74.5</v>
      </c>
      <c r="K4" s="35">
        <f>IF(C4="Annual Leave",J4-F4," ")</f>
        <v>14.5</v>
      </c>
      <c r="L4" s="1">
        <f>IF(H4="Not Rejoined", 0, 1)</f>
        <v>1</v>
      </c>
      <c r="M4" s="1" t="e">
        <f>IF(OR(#REF!="", C4=#REF!), 1, 0)</f>
        <v>#REF!</v>
      </c>
      <c r="N4" s="10" t="str">
        <f t="shared" ca="1" si="2"/>
        <v/>
      </c>
      <c r="O4" s="11">
        <f t="shared" si="3"/>
        <v>4</v>
      </c>
    </row>
    <row r="5" spans="1:16" ht="15.6" x14ac:dyDescent="0.3">
      <c r="A5" s="6">
        <v>2450</v>
      </c>
      <c r="B5" s="1" t="str">
        <f>IFERROR(VLOOKUP(A5,'[1]Master File'!$A$2:$C$312,3,0)," ")</f>
        <v>Najir Hussain</v>
      </c>
      <c r="C5" s="2" t="s">
        <v>15</v>
      </c>
      <c r="D5" s="5">
        <v>45614</v>
      </c>
      <c r="E5" s="61">
        <v>45673</v>
      </c>
      <c r="F5" s="1">
        <f t="shared" si="0"/>
        <v>60</v>
      </c>
      <c r="G5" s="9">
        <v>45677</v>
      </c>
      <c r="H5" s="32" t="str">
        <f>IF(G5="", "Not Rejoined", "Rejoined")</f>
        <v>Rejoined</v>
      </c>
      <c r="I5" s="10" t="str">
        <f t="shared" ca="1" si="1"/>
        <v>Rejoined</v>
      </c>
      <c r="J5" s="34"/>
      <c r="K5" s="34"/>
      <c r="L5" s="1">
        <f>IF(H5="Not Rejoined", 0, 1)</f>
        <v>1</v>
      </c>
      <c r="M5" s="1" t="e">
        <f>IF(OR(#REF!="", C5=#REF!), 1, 0)</f>
        <v>#REF!</v>
      </c>
      <c r="N5" s="10" t="str">
        <f t="shared" ca="1" si="2"/>
        <v/>
      </c>
      <c r="O5" s="11">
        <f t="shared" si="3"/>
        <v>4</v>
      </c>
    </row>
    <row r="6" spans="1:16" ht="15.6" x14ac:dyDescent="0.3">
      <c r="A6" s="6">
        <v>1806</v>
      </c>
      <c r="B6" s="1" t="str">
        <f>IFERROR(VLOOKUP(A6,'[1]Master File'!$A$2:$C$312,3,0)," ")</f>
        <v>Saroj Kumar Mukhram</v>
      </c>
      <c r="C6" s="2" t="s">
        <v>15</v>
      </c>
      <c r="D6" s="5">
        <v>45614</v>
      </c>
      <c r="E6" s="61">
        <v>45673</v>
      </c>
      <c r="F6" s="1">
        <f t="shared" si="0"/>
        <v>60</v>
      </c>
      <c r="G6" s="9">
        <v>45677</v>
      </c>
      <c r="I6" s="10" t="str">
        <f t="shared" ca="1" si="1"/>
        <v>Rejoined</v>
      </c>
      <c r="N6" s="10" t="str">
        <f t="shared" ca="1" si="2"/>
        <v/>
      </c>
      <c r="O6" s="11">
        <f t="shared" si="3"/>
        <v>4</v>
      </c>
    </row>
    <row r="7" spans="1:16" ht="15.6" x14ac:dyDescent="0.3">
      <c r="A7" s="6">
        <v>2628</v>
      </c>
      <c r="B7" s="1" t="str">
        <f>IFERROR(VLOOKUP(A7,'[1]Master File'!$A$2:$C$312,3,0)," ")</f>
        <v>Sona Kizhakudan Prince</v>
      </c>
      <c r="C7" s="2" t="s">
        <v>15</v>
      </c>
      <c r="D7" s="5">
        <v>45622</v>
      </c>
      <c r="E7" s="61">
        <v>45660</v>
      </c>
      <c r="F7" s="1">
        <f t="shared" si="0"/>
        <v>39</v>
      </c>
      <c r="G7" s="9">
        <v>45660</v>
      </c>
      <c r="I7" s="10" t="str">
        <f t="shared" ca="1" si="1"/>
        <v>Rejoined</v>
      </c>
      <c r="N7" s="10" t="str">
        <f t="shared" ca="1" si="2"/>
        <v/>
      </c>
      <c r="O7" s="11" t="str">
        <f t="shared" si="3"/>
        <v/>
      </c>
    </row>
    <row r="8" spans="1:16" ht="15.6" x14ac:dyDescent="0.3">
      <c r="A8" s="6">
        <v>2615</v>
      </c>
      <c r="B8" s="1" t="str">
        <f>IFERROR(VLOOKUP(A8,'[1]Master File'!$A$2:$C$312,3,0)," ")</f>
        <v>Qamar Zaman Muhammad Akmal</v>
      </c>
      <c r="C8" s="2" t="s">
        <v>13</v>
      </c>
      <c r="D8" s="5">
        <v>45629</v>
      </c>
      <c r="E8" s="61">
        <v>45674</v>
      </c>
      <c r="F8" s="1">
        <f t="shared" si="0"/>
        <v>46</v>
      </c>
      <c r="G8" s="9">
        <v>45681</v>
      </c>
      <c r="I8" s="10" t="str">
        <f t="shared" ca="1" si="1"/>
        <v>Rejoined</v>
      </c>
      <c r="N8" s="10" t="str">
        <f t="shared" ca="1" si="2"/>
        <v/>
      </c>
      <c r="O8" s="11">
        <f t="shared" si="3"/>
        <v>7</v>
      </c>
    </row>
    <row r="9" spans="1:16" ht="15.6" x14ac:dyDescent="0.3">
      <c r="A9" s="6">
        <v>2599</v>
      </c>
      <c r="B9" s="1" t="str">
        <f>IFERROR(VLOOKUP(A9,'[1]Master File'!$A$2:$C$312,3,0)," ")</f>
        <v>Abdul Rahman</v>
      </c>
      <c r="C9" s="2" t="s">
        <v>15</v>
      </c>
      <c r="D9" s="5">
        <v>45630</v>
      </c>
      <c r="E9" s="61">
        <v>45675</v>
      </c>
      <c r="F9" s="1">
        <f t="shared" si="0"/>
        <v>46</v>
      </c>
      <c r="G9" s="9">
        <v>45677</v>
      </c>
      <c r="I9" s="10" t="str">
        <f t="shared" ca="1" si="1"/>
        <v>Rejoined</v>
      </c>
      <c r="N9" s="10" t="str">
        <f t="shared" ca="1" si="2"/>
        <v/>
      </c>
      <c r="O9" s="11">
        <f t="shared" si="3"/>
        <v>2</v>
      </c>
    </row>
    <row r="10" spans="1:16" ht="15.6" x14ac:dyDescent="0.3">
      <c r="A10" s="6">
        <v>1016</v>
      </c>
      <c r="B10" s="1" t="str">
        <f>IFERROR(VLOOKUP(A10,'[1]Master File'!$A$2:$C$312,3,0)," ")</f>
        <v>Mohammed Abul Hasan</v>
      </c>
      <c r="C10" s="2" t="s">
        <v>13</v>
      </c>
      <c r="D10" s="5">
        <v>45635</v>
      </c>
      <c r="E10" s="61">
        <v>45694</v>
      </c>
      <c r="F10" s="1">
        <f t="shared" si="0"/>
        <v>60</v>
      </c>
      <c r="G10" s="9">
        <v>45701</v>
      </c>
      <c r="H10" s="19" t="str">
        <f>IF(G10="", "Not Rejoined", "Rejoined")</f>
        <v>Rejoined</v>
      </c>
      <c r="I10" s="10" t="str">
        <f t="shared" ca="1" si="1"/>
        <v>Rejoined</v>
      </c>
      <c r="J10" s="20"/>
      <c r="K10" s="20"/>
      <c r="L10" s="21">
        <f>IF(H10="Not Rejoined", 0, 1)</f>
        <v>1</v>
      </c>
      <c r="M10" s="21" t="e">
        <f>IF(OR(#REF!="", C10=#REF!), 1, 0)</f>
        <v>#REF!</v>
      </c>
      <c r="N10" s="10" t="str">
        <f t="shared" ca="1" si="2"/>
        <v/>
      </c>
      <c r="O10" s="11">
        <f t="shared" si="3"/>
        <v>7</v>
      </c>
    </row>
    <row r="11" spans="1:16" ht="15.6" x14ac:dyDescent="0.3">
      <c r="A11" s="6">
        <v>2635</v>
      </c>
      <c r="B11" s="1" t="str">
        <f>IFERROR(VLOOKUP(A11,'[1]Master File'!$A$2:$C$312,3,0)," ")</f>
        <v>Muhamed Minhaj Nayarkandy</v>
      </c>
      <c r="C11" s="2" t="s">
        <v>15</v>
      </c>
      <c r="D11" s="5">
        <v>45635</v>
      </c>
      <c r="E11" s="61">
        <v>45664</v>
      </c>
      <c r="F11" s="1">
        <f t="shared" si="0"/>
        <v>30</v>
      </c>
      <c r="G11" s="9">
        <v>45673</v>
      </c>
      <c r="I11" s="10" t="str">
        <f t="shared" ca="1" si="1"/>
        <v>Rejoined</v>
      </c>
      <c r="N11" s="10" t="str">
        <f t="shared" ca="1" si="2"/>
        <v/>
      </c>
      <c r="O11" s="11">
        <f t="shared" si="3"/>
        <v>9</v>
      </c>
    </row>
    <row r="12" spans="1:16" ht="15.6" x14ac:dyDescent="0.3">
      <c r="A12" s="6">
        <v>2538</v>
      </c>
      <c r="B12" s="1" t="str">
        <f>IFERROR(VLOOKUP(A12,'[1]Master File'!$A$2:$C$312,3,0)," ")</f>
        <v>Rasel Iman Hossain</v>
      </c>
      <c r="C12" s="2" t="s">
        <v>15</v>
      </c>
      <c r="D12" s="5">
        <v>45642</v>
      </c>
      <c r="E12" s="61">
        <v>45701</v>
      </c>
      <c r="F12" s="1">
        <f t="shared" si="0"/>
        <v>60</v>
      </c>
      <c r="G12" s="9">
        <v>45709</v>
      </c>
      <c r="I12" s="10" t="str">
        <f t="shared" ca="1" si="1"/>
        <v>Rejoined</v>
      </c>
      <c r="N12" s="10" t="str">
        <f t="shared" ca="1" si="2"/>
        <v/>
      </c>
      <c r="O12" s="11">
        <f t="shared" si="3"/>
        <v>8</v>
      </c>
    </row>
    <row r="13" spans="1:16" ht="15.6" x14ac:dyDescent="0.3">
      <c r="A13" s="6">
        <v>2614</v>
      </c>
      <c r="B13" s="1" t="str">
        <f>IFERROR(VLOOKUP(A13,'[1]Master File'!$A$2:$C$312,3,0)," ")</f>
        <v>Manish Kumar Yadav</v>
      </c>
      <c r="C13" s="2" t="s">
        <v>14</v>
      </c>
      <c r="D13" s="5">
        <v>45656</v>
      </c>
      <c r="E13" s="61">
        <v>45702</v>
      </c>
      <c r="F13" s="1">
        <f t="shared" si="0"/>
        <v>47</v>
      </c>
      <c r="G13" s="9">
        <v>45726</v>
      </c>
      <c r="I13" s="10" t="str">
        <f t="shared" ca="1" si="1"/>
        <v>Rejoined</v>
      </c>
      <c r="N13" s="10" t="str">
        <f t="shared" ca="1" si="2"/>
        <v/>
      </c>
      <c r="O13" s="11">
        <f t="shared" si="3"/>
        <v>24</v>
      </c>
    </row>
    <row r="14" spans="1:16" ht="15.6" x14ac:dyDescent="0.3">
      <c r="A14" s="6">
        <v>1106</v>
      </c>
      <c r="B14" s="1" t="str">
        <f>IFERROR(VLOOKUP(A14,'[1]Master File'!$A$2:$C$312,3,0)," ")</f>
        <v>Ram Chandra Pradhan</v>
      </c>
      <c r="C14" s="2" t="s">
        <v>15</v>
      </c>
      <c r="D14" s="5">
        <v>45656</v>
      </c>
      <c r="E14" s="61">
        <v>45715</v>
      </c>
      <c r="F14" s="1">
        <f t="shared" si="0"/>
        <v>60</v>
      </c>
      <c r="G14" s="9">
        <v>45716</v>
      </c>
      <c r="I14" s="10" t="str">
        <f t="shared" ca="1" si="1"/>
        <v>Rejoined</v>
      </c>
      <c r="N14" s="10" t="str">
        <f t="shared" ca="1" si="2"/>
        <v/>
      </c>
      <c r="O14" s="11" t="str">
        <f t="shared" si="3"/>
        <v/>
      </c>
    </row>
    <row r="15" spans="1:16" ht="15.6" x14ac:dyDescent="0.3">
      <c r="A15" s="6">
        <v>999</v>
      </c>
      <c r="B15" s="1" t="str">
        <f>IFERROR(VLOOKUP(A15,'[1]Master File'!$A$2:$C$312,3,0)," ")</f>
        <v xml:space="preserve">Gul Meen Khan Lal Meer Khan </v>
      </c>
      <c r="C15" s="2" t="s">
        <v>15</v>
      </c>
      <c r="D15" s="5">
        <v>45656</v>
      </c>
      <c r="E15" s="61">
        <v>45715</v>
      </c>
      <c r="F15" s="1">
        <f t="shared" si="0"/>
        <v>60</v>
      </c>
      <c r="G15" s="9">
        <v>45775</v>
      </c>
      <c r="I15" s="10" t="str">
        <f t="shared" ca="1" si="1"/>
        <v>Rejoined</v>
      </c>
      <c r="N15" s="10" t="str">
        <f t="shared" ca="1" si="2"/>
        <v/>
      </c>
      <c r="O15" s="11">
        <f t="shared" si="3"/>
        <v>60</v>
      </c>
    </row>
    <row r="16" spans="1:16" ht="15.6" x14ac:dyDescent="0.3">
      <c r="A16" s="6">
        <v>2610</v>
      </c>
      <c r="B16" s="1" t="str">
        <f>IFERROR(VLOOKUP(A16,'[1]Master File'!$A$2:$C$312,3,0)," ")</f>
        <v>Natalia Kolieva</v>
      </c>
      <c r="C16" s="2" t="s">
        <v>15</v>
      </c>
      <c r="D16" s="5">
        <v>45656</v>
      </c>
      <c r="E16" s="61">
        <v>45660</v>
      </c>
      <c r="F16" s="1">
        <f t="shared" si="0"/>
        <v>5</v>
      </c>
      <c r="G16" s="9">
        <v>45661</v>
      </c>
      <c r="I16" s="10" t="str">
        <f t="shared" ca="1" si="1"/>
        <v>Rejoined</v>
      </c>
      <c r="N16" s="10" t="str">
        <f t="shared" ca="1" si="2"/>
        <v/>
      </c>
      <c r="O16" s="11" t="str">
        <f t="shared" si="3"/>
        <v/>
      </c>
    </row>
    <row r="17" spans="1:15" ht="15.6" x14ac:dyDescent="0.3">
      <c r="A17" s="6">
        <v>67</v>
      </c>
      <c r="B17" s="1" t="str">
        <f>IFERROR(VLOOKUP(A17,'[1]Master File'!$A$2:$C$312,3,0)," ")</f>
        <v>Esoj Jose</v>
      </c>
      <c r="C17" s="2" t="s">
        <v>15</v>
      </c>
      <c r="D17" s="5">
        <v>45659</v>
      </c>
      <c r="E17" s="61">
        <v>45688</v>
      </c>
      <c r="F17" s="1">
        <f t="shared" si="0"/>
        <v>30</v>
      </c>
      <c r="G17" s="9">
        <v>45691</v>
      </c>
      <c r="I17" s="10" t="str">
        <f t="shared" ca="1" si="1"/>
        <v>Rejoined</v>
      </c>
      <c r="N17" s="10" t="str">
        <f t="shared" ca="1" si="2"/>
        <v/>
      </c>
      <c r="O17" s="11">
        <f t="shared" si="3"/>
        <v>3</v>
      </c>
    </row>
    <row r="18" spans="1:15" ht="15.6" x14ac:dyDescent="0.3">
      <c r="A18" s="6">
        <v>2240</v>
      </c>
      <c r="B18" s="1" t="str">
        <f>IFERROR(VLOOKUP(A18,'[1]Master File'!$A$2:$C$312,3,0)," ")</f>
        <v>Rifas Ansary Mohammed</v>
      </c>
      <c r="C18" s="2" t="s">
        <v>15</v>
      </c>
      <c r="D18" s="5">
        <v>45663</v>
      </c>
      <c r="E18" s="61">
        <v>45666</v>
      </c>
      <c r="F18" s="1">
        <f t="shared" si="0"/>
        <v>4</v>
      </c>
      <c r="G18" s="9">
        <v>45667</v>
      </c>
      <c r="I18" s="10" t="str">
        <f t="shared" ca="1" si="1"/>
        <v>Rejoined</v>
      </c>
      <c r="N18" s="10" t="str">
        <f t="shared" ca="1" si="2"/>
        <v/>
      </c>
      <c r="O18" s="11" t="str">
        <f t="shared" si="3"/>
        <v/>
      </c>
    </row>
    <row r="19" spans="1:15" ht="15.6" x14ac:dyDescent="0.3">
      <c r="A19" s="6">
        <v>2665</v>
      </c>
      <c r="B19" s="1" t="str">
        <f>IFERROR(VLOOKUP(A19,'[1]Master File'!$A$2:$C$312,3,0)," ")</f>
        <v>Manmeet Singh</v>
      </c>
      <c r="C19" s="2" t="s">
        <v>14</v>
      </c>
      <c r="D19" s="5">
        <v>45666</v>
      </c>
      <c r="E19" s="61">
        <v>45677</v>
      </c>
      <c r="F19" s="1">
        <f t="shared" si="0"/>
        <v>12</v>
      </c>
      <c r="G19" s="9"/>
      <c r="I19" s="10" t="s">
        <v>609</v>
      </c>
      <c r="N19" s="10" t="str">
        <f t="shared" ca="1" si="2"/>
        <v/>
      </c>
      <c r="O19" s="11" t="str">
        <f t="shared" si="3"/>
        <v/>
      </c>
    </row>
    <row r="20" spans="1:15" ht="15.6" x14ac:dyDescent="0.3">
      <c r="A20" s="6">
        <v>394</v>
      </c>
      <c r="B20" s="1" t="str">
        <f>IFERROR(VLOOKUP(A20,'[1]Master File'!$A$2:$C$312,3,0)," ")</f>
        <v>Kamal Hossain Tofazzal Mollah</v>
      </c>
      <c r="C20" s="2" t="s">
        <v>15</v>
      </c>
      <c r="D20" s="5">
        <v>45669</v>
      </c>
      <c r="E20" s="61">
        <v>45730</v>
      </c>
      <c r="F20" s="1">
        <f t="shared" si="0"/>
        <v>62</v>
      </c>
      <c r="G20" s="9">
        <v>45730</v>
      </c>
      <c r="I20" s="10" t="str">
        <f t="shared" ca="1" si="1"/>
        <v>Rejoined</v>
      </c>
      <c r="N20" s="10" t="str">
        <f t="shared" ca="1" si="2"/>
        <v/>
      </c>
      <c r="O20" s="11" t="str">
        <f t="shared" si="3"/>
        <v/>
      </c>
    </row>
    <row r="21" spans="1:15" ht="15.6" x14ac:dyDescent="0.3">
      <c r="A21" s="6">
        <v>2647</v>
      </c>
      <c r="B21" s="1" t="str">
        <f>IFERROR(VLOOKUP(A21,'[1]Master File'!$A$2:$C$312,3,0)," ")</f>
        <v>Sethu Kumar</v>
      </c>
      <c r="C21" s="2" t="s">
        <v>15</v>
      </c>
      <c r="D21" s="5">
        <v>45670</v>
      </c>
      <c r="E21" s="61">
        <v>45687</v>
      </c>
      <c r="F21" s="1">
        <f t="shared" si="0"/>
        <v>18</v>
      </c>
      <c r="G21" s="9">
        <v>45688</v>
      </c>
      <c r="I21" s="10" t="str">
        <f t="shared" ca="1" si="1"/>
        <v>Rejoined</v>
      </c>
      <c r="N21" s="10" t="str">
        <f t="shared" ca="1" si="2"/>
        <v/>
      </c>
      <c r="O21" s="11" t="str">
        <f t="shared" si="3"/>
        <v/>
      </c>
    </row>
    <row r="22" spans="1:15" ht="15.6" x14ac:dyDescent="0.3">
      <c r="A22" s="6">
        <v>1360</v>
      </c>
      <c r="B22" s="1" t="str">
        <f>IFERROR(VLOOKUP(A22,'[1]Master File'!$A$2:$C$312,3,0)," ")</f>
        <v>Buchi Babu Daram</v>
      </c>
      <c r="C22" s="2" t="s">
        <v>15</v>
      </c>
      <c r="D22" s="5">
        <v>45670</v>
      </c>
      <c r="E22" s="61">
        <v>45684</v>
      </c>
      <c r="F22" s="1">
        <f t="shared" si="0"/>
        <v>15</v>
      </c>
      <c r="G22" s="9">
        <v>45685</v>
      </c>
      <c r="I22" s="10" t="str">
        <f t="shared" ca="1" si="1"/>
        <v>Rejoined</v>
      </c>
      <c r="N22" s="10" t="str">
        <f t="shared" ca="1" si="2"/>
        <v/>
      </c>
      <c r="O22" s="11" t="str">
        <f t="shared" si="3"/>
        <v/>
      </c>
    </row>
    <row r="23" spans="1:15" ht="15.6" x14ac:dyDescent="0.3">
      <c r="A23" s="6">
        <v>2247</v>
      </c>
      <c r="B23" s="1" t="str">
        <f>IFERROR(VLOOKUP(A23,'[1]Master File'!$A$2:$C$312,3,0)," ")</f>
        <v>Ajaya Kumar</v>
      </c>
      <c r="C23" s="2" t="s">
        <v>15</v>
      </c>
      <c r="D23" s="5">
        <v>45670</v>
      </c>
      <c r="E23" s="61">
        <v>45730</v>
      </c>
      <c r="F23" s="1">
        <f t="shared" si="0"/>
        <v>61</v>
      </c>
      <c r="G23" s="9">
        <v>45736</v>
      </c>
      <c r="I23" s="10" t="str">
        <f t="shared" ca="1" si="1"/>
        <v>Rejoined</v>
      </c>
      <c r="N23" s="10" t="str">
        <f t="shared" ca="1" si="2"/>
        <v/>
      </c>
      <c r="O23" s="11">
        <f t="shared" si="3"/>
        <v>6</v>
      </c>
    </row>
    <row r="24" spans="1:15" ht="15.6" x14ac:dyDescent="0.3">
      <c r="A24" s="6">
        <v>2315</v>
      </c>
      <c r="B24" s="1" t="str">
        <f>IFERROR(VLOOKUP(A24,'[1]Master File'!$A$2:$C$312,3,0)," ")</f>
        <v>Mandresh  Khedan</v>
      </c>
      <c r="C24" s="2" t="s">
        <v>15</v>
      </c>
      <c r="D24" s="5">
        <v>45670</v>
      </c>
      <c r="E24" s="61">
        <v>45729</v>
      </c>
      <c r="F24" s="1">
        <f t="shared" si="0"/>
        <v>60</v>
      </c>
      <c r="G24" s="9">
        <v>45738</v>
      </c>
      <c r="I24" s="10" t="str">
        <f t="shared" ca="1" si="1"/>
        <v>Rejoined</v>
      </c>
      <c r="N24" s="10" t="str">
        <f t="shared" ca="1" si="2"/>
        <v/>
      </c>
      <c r="O24" s="11">
        <f t="shared" si="3"/>
        <v>9</v>
      </c>
    </row>
    <row r="25" spans="1:15" ht="15.6" x14ac:dyDescent="0.3">
      <c r="A25" s="6">
        <v>14</v>
      </c>
      <c r="B25" s="1" t="str">
        <f>IFERROR(VLOOKUP(A25,'[1]Master File'!$A$2:$C$312,3,0)," ")</f>
        <v>Afroz Ali Khan Khan</v>
      </c>
      <c r="C25" s="2" t="s">
        <v>15</v>
      </c>
      <c r="D25" s="5">
        <v>45670</v>
      </c>
      <c r="E25" s="61">
        <v>45678</v>
      </c>
      <c r="F25" s="1">
        <f t="shared" si="0"/>
        <v>9</v>
      </c>
      <c r="G25" s="12">
        <v>45679</v>
      </c>
      <c r="I25" s="10" t="str">
        <f t="shared" ca="1" si="1"/>
        <v>Rejoined</v>
      </c>
      <c r="N25" s="10" t="str">
        <f t="shared" ca="1" si="2"/>
        <v/>
      </c>
      <c r="O25" s="11" t="str">
        <f t="shared" si="3"/>
        <v/>
      </c>
    </row>
    <row r="26" spans="1:15" ht="15.6" x14ac:dyDescent="0.3">
      <c r="A26" s="6">
        <v>2545</v>
      </c>
      <c r="B26" s="1" t="str">
        <f>IFERROR(VLOOKUP(A26,'[1]Master File'!$A$2:$C$312,3,0)," ")</f>
        <v>Mohammad Jamal Badiyar</v>
      </c>
      <c r="C26" s="2" t="s">
        <v>15</v>
      </c>
      <c r="D26" s="5">
        <v>45671</v>
      </c>
      <c r="E26" s="61">
        <v>45702</v>
      </c>
      <c r="F26" s="1">
        <f t="shared" si="0"/>
        <v>32</v>
      </c>
      <c r="G26" s="9">
        <v>45708</v>
      </c>
      <c r="I26" s="10" t="str">
        <f t="shared" ca="1" si="1"/>
        <v>Rejoined</v>
      </c>
      <c r="N26" s="10" t="str">
        <f t="shared" ca="1" si="2"/>
        <v/>
      </c>
      <c r="O26" s="11">
        <f t="shared" si="3"/>
        <v>6</v>
      </c>
    </row>
    <row r="27" spans="1:15" ht="15.6" x14ac:dyDescent="0.3">
      <c r="A27" s="6">
        <v>2737</v>
      </c>
      <c r="B27" s="1" t="s">
        <v>25</v>
      </c>
      <c r="C27" s="2" t="s">
        <v>14</v>
      </c>
      <c r="D27" s="5">
        <v>45671</v>
      </c>
      <c r="E27" s="61">
        <v>45678</v>
      </c>
      <c r="F27" s="1">
        <f t="shared" si="0"/>
        <v>8</v>
      </c>
      <c r="G27" s="9">
        <v>45679</v>
      </c>
      <c r="I27" s="10" t="str">
        <f t="shared" ca="1" si="1"/>
        <v>Rejoined</v>
      </c>
      <c r="N27" s="10" t="str">
        <f t="shared" ca="1" si="2"/>
        <v/>
      </c>
      <c r="O27" s="11" t="str">
        <f t="shared" si="3"/>
        <v/>
      </c>
    </row>
    <row r="28" spans="1:15" ht="15.6" x14ac:dyDescent="0.3">
      <c r="A28" s="6">
        <v>2550</v>
      </c>
      <c r="B28" s="1" t="str">
        <f>IFERROR(VLOOKUP(A28,'[1]Master File'!$A$2:$C$312,3,0)," ")</f>
        <v>Grasvin Grogory</v>
      </c>
      <c r="C28" s="2" t="s">
        <v>15</v>
      </c>
      <c r="D28" s="5">
        <v>45677</v>
      </c>
      <c r="E28" s="61">
        <v>45698</v>
      </c>
      <c r="F28" s="1">
        <f t="shared" si="0"/>
        <v>22</v>
      </c>
      <c r="G28" s="9">
        <v>45719</v>
      </c>
      <c r="I28" s="10" t="str">
        <f t="shared" ca="1" si="1"/>
        <v>Rejoined</v>
      </c>
      <c r="N28" s="10" t="str">
        <f t="shared" ca="1" si="2"/>
        <v/>
      </c>
      <c r="O28" s="11">
        <f t="shared" si="3"/>
        <v>21</v>
      </c>
    </row>
    <row r="29" spans="1:15" ht="15.6" x14ac:dyDescent="0.3">
      <c r="A29" s="6">
        <v>835</v>
      </c>
      <c r="B29" s="1" t="str">
        <f>IFERROR(VLOOKUP(A29,'[1]Master File'!$A$2:$C$312,3,0)," ")</f>
        <v>Asim Abbas Sadiq Ali</v>
      </c>
      <c r="C29" s="2" t="s">
        <v>15</v>
      </c>
      <c r="D29" s="5">
        <v>45677</v>
      </c>
      <c r="E29" s="61">
        <v>45698</v>
      </c>
      <c r="F29" s="1">
        <f t="shared" si="0"/>
        <v>22</v>
      </c>
      <c r="G29" s="9">
        <v>45699</v>
      </c>
      <c r="I29" s="10" t="str">
        <f t="shared" ca="1" si="1"/>
        <v>Rejoined</v>
      </c>
      <c r="N29" s="10" t="str">
        <f t="shared" ca="1" si="2"/>
        <v/>
      </c>
      <c r="O29" s="11" t="str">
        <f t="shared" si="3"/>
        <v/>
      </c>
    </row>
    <row r="30" spans="1:15" ht="15.6" x14ac:dyDescent="0.3">
      <c r="A30" s="6">
        <v>1761</v>
      </c>
      <c r="B30" s="1" t="str">
        <f>IFERROR(VLOOKUP(A30,'[1]Master File'!$A$2:$C$312,3,0)," ")</f>
        <v>Syed Mushtaq Ahamad Syed Mukhtar Ahmed</v>
      </c>
      <c r="C30" s="2" t="s">
        <v>15</v>
      </c>
      <c r="D30" s="5">
        <v>45678</v>
      </c>
      <c r="E30" s="61">
        <v>45692</v>
      </c>
      <c r="F30" s="1">
        <f t="shared" si="0"/>
        <v>15</v>
      </c>
      <c r="G30" s="12">
        <v>45693</v>
      </c>
      <c r="I30" s="10" t="str">
        <f t="shared" ca="1" si="1"/>
        <v>Rejoined</v>
      </c>
      <c r="N30" s="10" t="str">
        <f t="shared" ca="1" si="2"/>
        <v/>
      </c>
      <c r="O30" s="11" t="str">
        <f t="shared" si="3"/>
        <v/>
      </c>
    </row>
    <row r="31" spans="1:15" ht="15.6" x14ac:dyDescent="0.3">
      <c r="A31" s="6">
        <v>2611</v>
      </c>
      <c r="B31" s="1" t="str">
        <f>IFERROR(VLOOKUP(A31,'[1]Master File'!$A$2:$C$312,3,0)," ")</f>
        <v>Sreejesh Kumar</v>
      </c>
      <c r="C31" s="2" t="s">
        <v>15</v>
      </c>
      <c r="D31" s="5">
        <v>45679</v>
      </c>
      <c r="E31" s="61">
        <v>45697</v>
      </c>
      <c r="F31" s="1">
        <f t="shared" si="0"/>
        <v>19</v>
      </c>
      <c r="G31" s="9">
        <v>45699</v>
      </c>
      <c r="I31" s="10" t="str">
        <f t="shared" ca="1" si="1"/>
        <v>Rejoined</v>
      </c>
      <c r="N31" s="10" t="str">
        <f t="shared" ca="1" si="2"/>
        <v/>
      </c>
      <c r="O31" s="11">
        <f t="shared" si="3"/>
        <v>2</v>
      </c>
    </row>
    <row r="32" spans="1:15" ht="15.6" x14ac:dyDescent="0.3">
      <c r="A32" s="6">
        <v>333</v>
      </c>
      <c r="B32" s="1" t="str">
        <f>IFERROR(VLOOKUP(A32,'[1]Master File'!$A$2:$C$312,3,0)," ")</f>
        <v>Zohirul Islam Nuruzzaman</v>
      </c>
      <c r="C32" s="2" t="s">
        <v>15</v>
      </c>
      <c r="D32" s="5">
        <v>45682</v>
      </c>
      <c r="E32" s="61">
        <v>45712</v>
      </c>
      <c r="F32" s="1">
        <f t="shared" si="0"/>
        <v>31</v>
      </c>
      <c r="G32" s="9">
        <v>45713</v>
      </c>
      <c r="I32" s="10" t="str">
        <f t="shared" ca="1" si="1"/>
        <v>Rejoined</v>
      </c>
      <c r="N32" s="10" t="str">
        <f t="shared" ca="1" si="2"/>
        <v/>
      </c>
      <c r="O32" s="11" t="str">
        <f t="shared" si="3"/>
        <v/>
      </c>
    </row>
    <row r="33" spans="1:15" ht="15.6" x14ac:dyDescent="0.3">
      <c r="A33" s="6">
        <v>34</v>
      </c>
      <c r="B33" s="1" t="str">
        <f>IFERROR(VLOOKUP(A33,'[1]Master File'!$A$2:$C$312,3,0)," ")</f>
        <v>Ashok Kumar Lekhu Ram</v>
      </c>
      <c r="C33" s="2" t="s">
        <v>14</v>
      </c>
      <c r="D33" s="5">
        <v>45685</v>
      </c>
      <c r="E33" s="61">
        <v>45715</v>
      </c>
      <c r="F33" s="1">
        <f t="shared" ref="F33:F65" si="4">IF(OR(D33="",E33 =""), "", E33 - D33+ 1)</f>
        <v>31</v>
      </c>
      <c r="G33" s="9">
        <v>45721</v>
      </c>
      <c r="I33" s="10" t="str">
        <f t="shared" ref="I33:I65" ca="1" si="5">IF(AND(G33="", E33="", D33=""), "", IF(D33&gt;TODAY(), "Applied", IF(G33&lt;&gt;"", IF(G33&lt;E33, "Early Rejoin", "Rejoined"), IF(E33&gt;TODAY(), "On Leave", "Not Rejoined"))))</f>
        <v>Rejoined</v>
      </c>
      <c r="N33" s="10" t="str">
        <f t="shared" ref="N33:N65" ca="1" si="6">IF(AND(E33&lt;&gt;"", E33&gt;=TODAY(), E33&lt;=TODAY()+3), "Rejoin Follow Up", "")</f>
        <v/>
      </c>
      <c r="O33" s="11">
        <f t="shared" si="3"/>
        <v>6</v>
      </c>
    </row>
    <row r="34" spans="1:15" ht="15.6" x14ac:dyDescent="0.3">
      <c r="A34" s="6">
        <v>2632</v>
      </c>
      <c r="B34" s="1" t="str">
        <f>IFERROR(VLOOKUP(A34,'[1]Master File'!$A$2:$C$312,3,0)," ")</f>
        <v>Ratheesh Pv</v>
      </c>
      <c r="C34" s="2" t="s">
        <v>15</v>
      </c>
      <c r="D34" s="5">
        <v>45691</v>
      </c>
      <c r="E34" s="61">
        <v>45705</v>
      </c>
      <c r="F34" s="1">
        <f t="shared" si="4"/>
        <v>15</v>
      </c>
      <c r="G34" s="9">
        <v>45706</v>
      </c>
      <c r="I34" s="10" t="str">
        <f t="shared" ca="1" si="5"/>
        <v>Rejoined</v>
      </c>
      <c r="N34" s="10" t="str">
        <f t="shared" ca="1" si="6"/>
        <v/>
      </c>
      <c r="O34" s="11" t="str">
        <f t="shared" si="3"/>
        <v/>
      </c>
    </row>
    <row r="35" spans="1:15" ht="15.6" x14ac:dyDescent="0.3">
      <c r="A35" s="6">
        <v>1611</v>
      </c>
      <c r="B35" s="1" t="str">
        <f>IFERROR(VLOOKUP(A35,'[1]Master File'!$A$2:$C$312,3,0)," ")</f>
        <v xml:space="preserve">Sunil Rana </v>
      </c>
      <c r="C35" s="2" t="s">
        <v>15</v>
      </c>
      <c r="D35" s="5">
        <v>45691</v>
      </c>
      <c r="E35" s="61">
        <v>45698</v>
      </c>
      <c r="F35" s="1">
        <f t="shared" si="4"/>
        <v>8</v>
      </c>
      <c r="G35" s="12">
        <v>45699</v>
      </c>
      <c r="I35" s="10" t="str">
        <f t="shared" ca="1" si="5"/>
        <v>Rejoined</v>
      </c>
      <c r="N35" s="10" t="str">
        <f t="shared" ca="1" si="6"/>
        <v/>
      </c>
      <c r="O35" s="11" t="str">
        <f t="shared" si="3"/>
        <v/>
      </c>
    </row>
    <row r="36" spans="1:15" ht="15.6" x14ac:dyDescent="0.3">
      <c r="A36" s="6">
        <v>266</v>
      </c>
      <c r="B36" s="1" t="str">
        <f>IFERROR(VLOOKUP(A36,'[1]Master File'!$A$2:$C$312,3,0)," ")</f>
        <v>Shareef Asadullah Muhammad</v>
      </c>
      <c r="C36" s="2" t="s">
        <v>15</v>
      </c>
      <c r="D36" s="5">
        <v>45691</v>
      </c>
      <c r="E36" s="61">
        <v>45720</v>
      </c>
      <c r="F36" s="1">
        <f t="shared" si="4"/>
        <v>30</v>
      </c>
      <c r="G36" s="9">
        <v>45715</v>
      </c>
      <c r="I36" s="10" t="str">
        <f t="shared" ca="1" si="5"/>
        <v>Early Rejoin</v>
      </c>
      <c r="N36" s="10" t="str">
        <f t="shared" ca="1" si="6"/>
        <v/>
      </c>
      <c r="O36" s="11" t="str">
        <f t="shared" si="3"/>
        <v/>
      </c>
    </row>
    <row r="37" spans="1:15" ht="15.6" x14ac:dyDescent="0.3">
      <c r="A37" s="6">
        <v>1693</v>
      </c>
      <c r="B37" s="1" t="str">
        <f>IFERROR(VLOOKUP(A37,'[1]Master File'!$A$2:$C$312,3,0)," ")</f>
        <v>Shaik Rasheed Ahmed</v>
      </c>
      <c r="C37" s="2" t="s">
        <v>14</v>
      </c>
      <c r="D37" s="5">
        <v>45691</v>
      </c>
      <c r="E37" s="61">
        <v>45694</v>
      </c>
      <c r="F37" s="1">
        <f t="shared" si="4"/>
        <v>4</v>
      </c>
      <c r="G37" s="9">
        <v>45695</v>
      </c>
      <c r="I37" s="10" t="str">
        <f t="shared" ca="1" si="5"/>
        <v>Rejoined</v>
      </c>
      <c r="N37" s="10" t="str">
        <f t="shared" ca="1" si="6"/>
        <v/>
      </c>
      <c r="O37" s="11" t="str">
        <f t="shared" si="3"/>
        <v/>
      </c>
    </row>
    <row r="38" spans="1:15" ht="15.6" x14ac:dyDescent="0.3">
      <c r="A38" s="6">
        <v>22</v>
      </c>
      <c r="B38" s="1" t="str">
        <f>IFERROR(VLOOKUP(A38,'[1]Master File'!$A$2:$C$312,3,0)," ")</f>
        <v>Alamgir Hossin Mohammed Sattar</v>
      </c>
      <c r="C38" s="2" t="s">
        <v>17</v>
      </c>
      <c r="D38" s="5">
        <v>45693</v>
      </c>
      <c r="E38" s="61">
        <v>45707</v>
      </c>
      <c r="F38" s="1">
        <f t="shared" si="4"/>
        <v>15</v>
      </c>
      <c r="G38" s="9">
        <v>45708</v>
      </c>
      <c r="I38" s="10" t="str">
        <f t="shared" ca="1" si="5"/>
        <v>Rejoined</v>
      </c>
      <c r="N38" s="10" t="str">
        <f t="shared" ca="1" si="6"/>
        <v/>
      </c>
      <c r="O38" s="11" t="str">
        <f t="shared" si="3"/>
        <v/>
      </c>
    </row>
    <row r="39" spans="1:15" ht="15.6" x14ac:dyDescent="0.3">
      <c r="A39" s="6">
        <v>1399</v>
      </c>
      <c r="B39" s="1" t="str">
        <f>IFERROR(VLOOKUP(A39,'[1]Master File'!$A$2:$C$312,3,0)," ")</f>
        <v>Bachittar Singh</v>
      </c>
      <c r="C39" s="2" t="s">
        <v>14</v>
      </c>
      <c r="D39" s="5">
        <v>45700</v>
      </c>
      <c r="E39" s="61">
        <v>45714</v>
      </c>
      <c r="F39" s="1">
        <f t="shared" si="4"/>
        <v>15</v>
      </c>
      <c r="G39" s="9">
        <v>45729</v>
      </c>
      <c r="I39" s="10" t="str">
        <f t="shared" ca="1" si="5"/>
        <v>Rejoined</v>
      </c>
      <c r="N39" s="10" t="str">
        <f t="shared" ca="1" si="6"/>
        <v/>
      </c>
      <c r="O39" s="11">
        <f t="shared" si="3"/>
        <v>15</v>
      </c>
    </row>
    <row r="40" spans="1:15" ht="15.6" x14ac:dyDescent="0.3">
      <c r="A40" s="6">
        <v>2738</v>
      </c>
      <c r="B40" s="17" t="s">
        <v>498</v>
      </c>
      <c r="C40" s="2" t="s">
        <v>14</v>
      </c>
      <c r="D40" s="5">
        <v>45703</v>
      </c>
      <c r="E40" s="61">
        <v>45718</v>
      </c>
      <c r="F40" s="1">
        <f t="shared" si="4"/>
        <v>16</v>
      </c>
      <c r="G40" s="9">
        <v>45719</v>
      </c>
      <c r="I40" s="10" t="str">
        <f t="shared" ca="1" si="5"/>
        <v>Rejoined</v>
      </c>
      <c r="N40" s="10" t="str">
        <f t="shared" ca="1" si="6"/>
        <v/>
      </c>
      <c r="O40" s="11" t="str">
        <f t="shared" si="3"/>
        <v/>
      </c>
    </row>
    <row r="41" spans="1:15" ht="15.6" x14ac:dyDescent="0.3">
      <c r="A41" s="6">
        <v>2606</v>
      </c>
      <c r="B41" s="1" t="str">
        <f>IFERROR(VLOOKUP(A41,'[1]Master File'!$A$2:$C$312,3,0)," ")</f>
        <v>Umair Ali Khan</v>
      </c>
      <c r="C41" s="2" t="s">
        <v>16</v>
      </c>
      <c r="D41" s="5">
        <v>45705</v>
      </c>
      <c r="E41" s="61">
        <v>45718</v>
      </c>
      <c r="F41" s="1">
        <f t="shared" si="4"/>
        <v>14</v>
      </c>
      <c r="G41" s="12">
        <v>45719</v>
      </c>
      <c r="I41" s="10" t="str">
        <f t="shared" ca="1" si="5"/>
        <v>Rejoined</v>
      </c>
      <c r="N41" s="10" t="str">
        <f t="shared" ca="1" si="6"/>
        <v/>
      </c>
      <c r="O41" s="11" t="str">
        <f t="shared" si="3"/>
        <v/>
      </c>
    </row>
    <row r="42" spans="1:15" ht="15.6" x14ac:dyDescent="0.3">
      <c r="A42" s="2">
        <v>2580</v>
      </c>
      <c r="B42" s="1" t="str">
        <f>IFERROR(VLOOKUP(A42,'[1]Master File'!$A$2:$C$312,3,0)," ")</f>
        <v>Nicolo Montesi</v>
      </c>
      <c r="C42" s="2" t="s">
        <v>601</v>
      </c>
      <c r="D42" s="5">
        <v>45870</v>
      </c>
      <c r="E42" s="61">
        <v>45905</v>
      </c>
      <c r="F42" s="1">
        <f>IF(OR(D42="",E42 =""), "", E42 - D42+ 1)</f>
        <v>36</v>
      </c>
      <c r="G42" s="12">
        <v>45906</v>
      </c>
      <c r="I42" s="10" t="str">
        <f ca="1">IF(AND(G42="", E42="", D42=""), "", IF(D42&gt;TODAY(), "Applied", IF(G42&lt;&gt;"", IF(G42&lt;E42, "Early Rejoin", "Rejoined"), IF(E42&gt;TODAY(), "On Leave", "Not Rejoined"))))</f>
        <v>Rejoined</v>
      </c>
      <c r="N42" s="10" t="str">
        <f ca="1">IF(AND(E42&lt;&gt;"", E42&gt;=TODAY(), E42&lt;=TODAY()+3), "Rejoin Follow Up", "")</f>
        <v/>
      </c>
      <c r="O42" s="11" t="str">
        <f>IF(AND(G42&lt;&gt;"", G42 &gt; E42, (G42 - E42) &lt;&gt; 1), G42 - E42, "")</f>
        <v/>
      </c>
    </row>
    <row r="43" spans="1:15" ht="15.6" x14ac:dyDescent="0.3">
      <c r="A43" s="6">
        <v>1608</v>
      </c>
      <c r="B43" s="1" t="str">
        <f>IFERROR(VLOOKUP(A43,'[1]Master File'!$A$2:$C$312,3,0)," ")</f>
        <v>Fayaz Ali Mohammed</v>
      </c>
      <c r="C43" s="2" t="s">
        <v>14</v>
      </c>
      <c r="D43" s="5">
        <v>45705</v>
      </c>
      <c r="E43" s="61">
        <v>45716</v>
      </c>
      <c r="F43" s="1">
        <f t="shared" si="4"/>
        <v>12</v>
      </c>
      <c r="G43" s="9" t="s">
        <v>499</v>
      </c>
      <c r="I43" s="10" t="str">
        <f t="shared" ca="1" si="5"/>
        <v>Rejoined</v>
      </c>
      <c r="N43" s="10" t="str">
        <f t="shared" ca="1" si="6"/>
        <v/>
      </c>
      <c r="O43" s="11"/>
    </row>
    <row r="44" spans="1:15" ht="15.6" x14ac:dyDescent="0.3">
      <c r="A44" s="6">
        <v>22</v>
      </c>
      <c r="B44" s="1" t="str">
        <f>IFERROR(VLOOKUP(A44,'[1]Master File'!$A$2:$C$312,3,0)," ")</f>
        <v>Alamgir Hossin Mohammed Sattar</v>
      </c>
      <c r="C44" s="2" t="s">
        <v>18</v>
      </c>
      <c r="D44" s="5">
        <v>45707</v>
      </c>
      <c r="E44" s="61">
        <v>45721</v>
      </c>
      <c r="F44" s="1">
        <f t="shared" si="4"/>
        <v>15</v>
      </c>
      <c r="G44" s="9">
        <v>45722</v>
      </c>
      <c r="I44" s="10" t="str">
        <f t="shared" ca="1" si="5"/>
        <v>Rejoined</v>
      </c>
      <c r="N44" s="10" t="str">
        <f t="shared" ca="1" si="6"/>
        <v/>
      </c>
      <c r="O44" s="11" t="str">
        <f t="shared" ref="O44:O61" si="7">IF(AND(G44&lt;&gt;"", G44 &gt; E44, (G44 - E44) &lt;&gt; 1), G44 - E44, "")</f>
        <v/>
      </c>
    </row>
    <row r="45" spans="1:15" ht="15.6" x14ac:dyDescent="0.3">
      <c r="A45" s="6">
        <v>1282</v>
      </c>
      <c r="B45" s="1" t="str">
        <f>IFERROR(VLOOKUP(A45,'[1]Master File'!$A$2:$C$312,3,0)," ")</f>
        <v>Amrik Suman</v>
      </c>
      <c r="C45" s="2" t="s">
        <v>15</v>
      </c>
      <c r="D45" s="5">
        <v>45712</v>
      </c>
      <c r="E45" s="61">
        <v>45781</v>
      </c>
      <c r="F45" s="1">
        <f t="shared" si="4"/>
        <v>70</v>
      </c>
      <c r="G45" s="9">
        <v>45783</v>
      </c>
      <c r="I45" s="10" t="str">
        <f t="shared" ca="1" si="5"/>
        <v>Rejoined</v>
      </c>
      <c r="N45" s="10" t="str">
        <f t="shared" ca="1" si="6"/>
        <v/>
      </c>
      <c r="O45" s="11">
        <f t="shared" si="7"/>
        <v>2</v>
      </c>
    </row>
    <row r="46" spans="1:15" ht="15.6" x14ac:dyDescent="0.3">
      <c r="A46" s="6">
        <v>356</v>
      </c>
      <c r="B46" s="1" t="str">
        <f>IFERROR(VLOOKUP(A46,'[1]Master File'!$A$2:$C$312,3,0)," ")</f>
        <v>Balwant Singh Munsha Singh</v>
      </c>
      <c r="C46" s="2" t="s">
        <v>15</v>
      </c>
      <c r="D46" s="5">
        <v>45712</v>
      </c>
      <c r="E46" s="61">
        <v>45770</v>
      </c>
      <c r="F46" s="1">
        <f t="shared" si="4"/>
        <v>59</v>
      </c>
      <c r="G46" s="9">
        <v>45783</v>
      </c>
      <c r="I46" s="10" t="str">
        <f t="shared" ca="1" si="5"/>
        <v>Rejoined</v>
      </c>
      <c r="N46" s="10" t="str">
        <f t="shared" ca="1" si="6"/>
        <v/>
      </c>
      <c r="O46" s="11">
        <f t="shared" si="7"/>
        <v>13</v>
      </c>
    </row>
    <row r="47" spans="1:15" ht="15.6" x14ac:dyDescent="0.3">
      <c r="A47" s="6">
        <v>1194</v>
      </c>
      <c r="B47" s="1" t="str">
        <f>IFERROR(VLOOKUP(A47,'[1]Master File'!$A$2:$C$312,3,0)," ")</f>
        <v>Ravi Pal Singh</v>
      </c>
      <c r="C47" s="2" t="s">
        <v>15</v>
      </c>
      <c r="D47" s="5">
        <v>45712</v>
      </c>
      <c r="E47" s="61">
        <v>45801</v>
      </c>
      <c r="F47" s="1">
        <f t="shared" si="4"/>
        <v>90</v>
      </c>
      <c r="G47" s="9">
        <v>45853</v>
      </c>
      <c r="I47" s="10" t="str">
        <f t="shared" ca="1" si="5"/>
        <v>Rejoined</v>
      </c>
      <c r="N47" s="10" t="str">
        <f t="shared" ca="1" si="6"/>
        <v/>
      </c>
      <c r="O47" s="11">
        <f t="shared" si="7"/>
        <v>52</v>
      </c>
    </row>
    <row r="48" spans="1:15" ht="15.6" x14ac:dyDescent="0.3">
      <c r="A48" s="6">
        <v>1376</v>
      </c>
      <c r="B48" s="1" t="str">
        <f>IFERROR(VLOOKUP(A48,'[1]Master File'!$A$2:$C$312,3,0)," ")</f>
        <v>Vishnu Mohanan</v>
      </c>
      <c r="C48" s="2" t="s">
        <v>15</v>
      </c>
      <c r="D48" s="5">
        <v>45718</v>
      </c>
      <c r="E48" s="61">
        <v>45777</v>
      </c>
      <c r="F48" s="1">
        <f t="shared" si="4"/>
        <v>60</v>
      </c>
      <c r="G48" s="9">
        <v>45778</v>
      </c>
      <c r="I48" s="10" t="str">
        <f t="shared" ca="1" si="5"/>
        <v>Rejoined</v>
      </c>
      <c r="N48" s="10" t="str">
        <f t="shared" ca="1" si="6"/>
        <v/>
      </c>
      <c r="O48" s="11" t="str">
        <f t="shared" si="7"/>
        <v/>
      </c>
    </row>
    <row r="49" spans="1:15" ht="15.6" x14ac:dyDescent="0.3">
      <c r="A49" s="6">
        <v>2702</v>
      </c>
      <c r="B49" s="1" t="str">
        <f>IFERROR(VLOOKUP(A49,'[1]Master File'!$A$2:$C$312,3,0)," ")</f>
        <v>Nitheesh PV</v>
      </c>
      <c r="C49" s="3" t="s">
        <v>14</v>
      </c>
      <c r="D49" s="5">
        <v>45720</v>
      </c>
      <c r="E49" s="61">
        <v>45740</v>
      </c>
      <c r="F49" s="1">
        <f t="shared" si="4"/>
        <v>21</v>
      </c>
      <c r="G49" s="9">
        <v>45741</v>
      </c>
      <c r="I49" s="10" t="str">
        <f t="shared" ca="1" si="5"/>
        <v>Rejoined</v>
      </c>
      <c r="N49" s="10" t="str">
        <f t="shared" ca="1" si="6"/>
        <v/>
      </c>
      <c r="O49" s="11" t="str">
        <f t="shared" si="7"/>
        <v/>
      </c>
    </row>
    <row r="50" spans="1:15" ht="15.6" x14ac:dyDescent="0.3">
      <c r="A50" s="6">
        <v>338</v>
      </c>
      <c r="B50" s="1" t="str">
        <f>IFERROR(VLOOKUP(A50,'[1]Master File'!$A$2:$C$312,3,0)," ")</f>
        <v>Jugdayal Sharma Sudeshwar Sharma</v>
      </c>
      <c r="C50" s="2" t="s">
        <v>15</v>
      </c>
      <c r="D50" s="5">
        <v>45726</v>
      </c>
      <c r="E50" s="61">
        <v>45755</v>
      </c>
      <c r="F50" s="1">
        <f t="shared" si="4"/>
        <v>30</v>
      </c>
      <c r="G50" s="9">
        <v>45765</v>
      </c>
      <c r="I50" s="10" t="str">
        <f t="shared" ca="1" si="5"/>
        <v>Rejoined</v>
      </c>
      <c r="N50" s="10" t="str">
        <f t="shared" ca="1" si="6"/>
        <v/>
      </c>
      <c r="O50" s="11">
        <f t="shared" si="7"/>
        <v>10</v>
      </c>
    </row>
    <row r="51" spans="1:15" ht="15.6" x14ac:dyDescent="0.3">
      <c r="A51" s="6">
        <v>2317</v>
      </c>
      <c r="B51" s="1" t="str">
        <f>IFERROR(VLOOKUP(A51,'[1]Master File'!$A$2:$C$312,3,0)," ")</f>
        <v>Adbul Rauf</v>
      </c>
      <c r="C51" s="2" t="s">
        <v>14</v>
      </c>
      <c r="D51" s="5">
        <v>45734</v>
      </c>
      <c r="E51" s="61">
        <v>45748</v>
      </c>
      <c r="F51" s="1">
        <f t="shared" si="4"/>
        <v>15</v>
      </c>
      <c r="G51" s="9">
        <v>45824</v>
      </c>
      <c r="I51" s="10" t="str">
        <f t="shared" ca="1" si="5"/>
        <v>Rejoined</v>
      </c>
      <c r="N51" s="10" t="str">
        <f t="shared" ca="1" si="6"/>
        <v/>
      </c>
      <c r="O51" s="11">
        <f t="shared" si="7"/>
        <v>76</v>
      </c>
    </row>
    <row r="52" spans="1:15" ht="15.6" x14ac:dyDescent="0.3">
      <c r="A52" s="6">
        <v>2624</v>
      </c>
      <c r="B52" s="1" t="str">
        <f>IFERROR(VLOOKUP(A52,'[1]Master File'!$A$2:$C$312,3,0)," ")</f>
        <v>Ahmad Ullah</v>
      </c>
      <c r="C52" s="2" t="s">
        <v>14</v>
      </c>
      <c r="D52" s="5">
        <v>45735</v>
      </c>
      <c r="E52" s="61">
        <v>45746</v>
      </c>
      <c r="F52" s="1">
        <f t="shared" si="4"/>
        <v>12</v>
      </c>
      <c r="G52" s="9">
        <v>45833</v>
      </c>
      <c r="I52" s="10" t="str">
        <f t="shared" ca="1" si="5"/>
        <v>Rejoined</v>
      </c>
      <c r="N52" s="10" t="str">
        <f t="shared" ca="1" si="6"/>
        <v/>
      </c>
      <c r="O52" s="11">
        <f t="shared" si="7"/>
        <v>87</v>
      </c>
    </row>
    <row r="53" spans="1:15" ht="15.6" x14ac:dyDescent="0.3">
      <c r="A53" s="6">
        <v>1801</v>
      </c>
      <c r="B53" s="1" t="str">
        <f>IFERROR(VLOOKUP(A53,'[1]Master File'!$A$2:$C$312,3,0)," ")</f>
        <v>Amer Khan Mohammed</v>
      </c>
      <c r="C53" s="3" t="s">
        <v>14</v>
      </c>
      <c r="D53" s="5">
        <v>45735</v>
      </c>
      <c r="E53" s="61">
        <v>45750</v>
      </c>
      <c r="F53" s="1">
        <f t="shared" si="4"/>
        <v>16</v>
      </c>
      <c r="G53" s="9">
        <v>45942</v>
      </c>
      <c r="I53" s="10" t="str">
        <f t="shared" ca="1" si="5"/>
        <v>Rejoined</v>
      </c>
      <c r="N53" s="10" t="str">
        <f t="shared" ca="1" si="6"/>
        <v/>
      </c>
      <c r="O53" s="11">
        <f t="shared" si="7"/>
        <v>192</v>
      </c>
    </row>
    <row r="54" spans="1:15" ht="15.6" x14ac:dyDescent="0.3">
      <c r="A54" s="6">
        <v>310</v>
      </c>
      <c r="B54" s="1" t="str">
        <f>IFERROR(VLOOKUP(A54,'[1]Master File'!$A$2:$C$312,3,0)," ")</f>
        <v>Vijayalekshmi Neelakanta Pillai Sajeev Kumar</v>
      </c>
      <c r="C54" s="2" t="s">
        <v>15</v>
      </c>
      <c r="D54" s="5">
        <v>45736</v>
      </c>
      <c r="E54" s="61">
        <v>45797</v>
      </c>
      <c r="F54" s="1">
        <f t="shared" si="4"/>
        <v>62</v>
      </c>
      <c r="G54" s="9">
        <v>45806</v>
      </c>
      <c r="I54" s="10" t="str">
        <f t="shared" ca="1" si="5"/>
        <v>Rejoined</v>
      </c>
      <c r="N54" s="10" t="str">
        <f t="shared" ca="1" si="6"/>
        <v/>
      </c>
      <c r="O54" s="11">
        <f t="shared" si="7"/>
        <v>9</v>
      </c>
    </row>
    <row r="55" spans="1:15" ht="15.6" x14ac:dyDescent="0.3">
      <c r="A55" s="6">
        <v>194</v>
      </c>
      <c r="B55" s="1" t="str">
        <f>IFERROR(VLOOKUP(A55,'[1]Master File'!$A$2:$C$312,3,0)," ")</f>
        <v>Olyullah Ali Akbor</v>
      </c>
      <c r="C55" s="2" t="s">
        <v>15</v>
      </c>
      <c r="D55" s="5">
        <v>45736</v>
      </c>
      <c r="E55" s="61">
        <v>45770</v>
      </c>
      <c r="F55" s="1">
        <f t="shared" si="4"/>
        <v>35</v>
      </c>
      <c r="G55" s="9">
        <v>45771</v>
      </c>
      <c r="I55" s="10" t="str">
        <f t="shared" ca="1" si="5"/>
        <v>Rejoined</v>
      </c>
      <c r="N55" s="10" t="str">
        <f t="shared" ca="1" si="6"/>
        <v/>
      </c>
      <c r="O55" s="11" t="str">
        <f t="shared" si="7"/>
        <v/>
      </c>
    </row>
    <row r="56" spans="1:15" ht="15.6" x14ac:dyDescent="0.3">
      <c r="A56" s="6">
        <v>1708</v>
      </c>
      <c r="B56" s="1" t="str">
        <f>IFERROR(VLOOKUP(A56,'[1]Master File'!$A$2:$C$312,3,0)," ")</f>
        <v>Nakul Terasi</v>
      </c>
      <c r="C56" s="2" t="s">
        <v>15</v>
      </c>
      <c r="D56" s="5">
        <v>45740</v>
      </c>
      <c r="E56" s="61">
        <v>45799</v>
      </c>
      <c r="F56" s="1">
        <f t="shared" si="4"/>
        <v>60</v>
      </c>
      <c r="G56" s="9">
        <v>45806</v>
      </c>
      <c r="I56" s="10" t="str">
        <f t="shared" ca="1" si="5"/>
        <v>Rejoined</v>
      </c>
      <c r="N56" s="10" t="str">
        <f t="shared" ca="1" si="6"/>
        <v/>
      </c>
      <c r="O56" s="11">
        <f t="shared" si="7"/>
        <v>7</v>
      </c>
    </row>
    <row r="57" spans="1:15" ht="15.6" x14ac:dyDescent="0.3">
      <c r="A57" s="6">
        <v>1608</v>
      </c>
      <c r="B57" s="1" t="str">
        <f>IFERROR(VLOOKUP(A57,'[1]Master File'!$A$2:$C$312,3,0)," ")</f>
        <v>Fayaz Ali Mohammed</v>
      </c>
      <c r="C57" s="2" t="s">
        <v>14</v>
      </c>
      <c r="D57" s="5">
        <v>45740</v>
      </c>
      <c r="E57" s="61">
        <v>45741</v>
      </c>
      <c r="F57" s="1">
        <f t="shared" si="4"/>
        <v>2</v>
      </c>
      <c r="G57" s="9">
        <v>45742</v>
      </c>
      <c r="I57" s="10" t="str">
        <f t="shared" ca="1" si="5"/>
        <v>Rejoined</v>
      </c>
      <c r="N57" s="10" t="str">
        <f t="shared" ca="1" si="6"/>
        <v/>
      </c>
      <c r="O57" s="11" t="str">
        <f t="shared" si="7"/>
        <v/>
      </c>
    </row>
    <row r="58" spans="1:15" ht="15.6" x14ac:dyDescent="0.3">
      <c r="A58" s="6">
        <v>1608</v>
      </c>
      <c r="B58" s="1" t="str">
        <f>IFERROR(VLOOKUP(A58,'[1]Master File'!$A$2:$C$312,3,0)," ")</f>
        <v>Fayaz Ali Mohammed</v>
      </c>
      <c r="C58" s="2" t="s">
        <v>14</v>
      </c>
      <c r="D58" s="5">
        <v>45740</v>
      </c>
      <c r="E58" s="61">
        <v>45741</v>
      </c>
      <c r="F58" s="1">
        <f t="shared" si="4"/>
        <v>2</v>
      </c>
      <c r="G58" s="9">
        <v>45742</v>
      </c>
      <c r="I58" s="10" t="str">
        <f t="shared" ca="1" si="5"/>
        <v>Rejoined</v>
      </c>
      <c r="N58" s="10" t="str">
        <f t="shared" ca="1" si="6"/>
        <v/>
      </c>
      <c r="O58" s="11" t="str">
        <f t="shared" si="7"/>
        <v/>
      </c>
    </row>
    <row r="59" spans="1:15" ht="15.6" x14ac:dyDescent="0.3">
      <c r="A59" s="6">
        <v>976</v>
      </c>
      <c r="B59" s="1" t="str">
        <f>IFERROR(VLOOKUP(A59,'[1]Master File'!$A$2:$C$312,3,0)," ")</f>
        <v>Nasar Khan Muhammad Afzal Khan</v>
      </c>
      <c r="C59" s="2" t="s">
        <v>15</v>
      </c>
      <c r="D59" s="5">
        <v>45744</v>
      </c>
      <c r="E59" s="61">
        <v>45782</v>
      </c>
      <c r="F59" s="1">
        <f t="shared" si="4"/>
        <v>39</v>
      </c>
      <c r="G59" s="9">
        <v>45789</v>
      </c>
      <c r="I59" s="10" t="str">
        <f t="shared" ca="1" si="5"/>
        <v>Rejoined</v>
      </c>
      <c r="N59" s="10" t="str">
        <f t="shared" ca="1" si="6"/>
        <v/>
      </c>
      <c r="O59" s="11">
        <f t="shared" si="7"/>
        <v>7</v>
      </c>
    </row>
    <row r="60" spans="1:15" ht="15.6" x14ac:dyDescent="0.3">
      <c r="A60" s="6">
        <v>2594</v>
      </c>
      <c r="B60" s="1" t="str">
        <f>IFERROR(VLOOKUP(A60,'[1]Master File'!$A$2:$C$312,3,0)," ")</f>
        <v>Naveed Shams Ur Rehman</v>
      </c>
      <c r="C60" s="2" t="s">
        <v>15</v>
      </c>
      <c r="D60" s="5">
        <v>45747</v>
      </c>
      <c r="E60" s="61">
        <v>45787</v>
      </c>
      <c r="F60" s="1">
        <f t="shared" si="4"/>
        <v>41</v>
      </c>
      <c r="G60" s="9">
        <v>45789</v>
      </c>
      <c r="I60" s="10" t="str">
        <f t="shared" ca="1" si="5"/>
        <v>Rejoined</v>
      </c>
      <c r="N60" s="10" t="str">
        <f t="shared" ca="1" si="6"/>
        <v/>
      </c>
      <c r="O60" s="11">
        <f t="shared" si="7"/>
        <v>2</v>
      </c>
    </row>
    <row r="61" spans="1:15" ht="15.6" x14ac:dyDescent="0.3">
      <c r="A61" s="6">
        <v>801</v>
      </c>
      <c r="B61" s="1" t="str">
        <f>IFERROR(VLOOKUP(A61,'[1]Master File'!$A$2:$C$312,3,0)," ")</f>
        <v>Janeesh Jayakumar Baby</v>
      </c>
      <c r="C61" s="2" t="s">
        <v>14</v>
      </c>
      <c r="D61" s="5">
        <v>45747</v>
      </c>
      <c r="E61" s="61">
        <v>45795</v>
      </c>
      <c r="F61" s="1">
        <f t="shared" si="4"/>
        <v>49</v>
      </c>
      <c r="G61" s="9">
        <v>45796</v>
      </c>
      <c r="I61" s="10" t="str">
        <f t="shared" ca="1" si="5"/>
        <v>Rejoined</v>
      </c>
      <c r="N61" s="10" t="str">
        <f t="shared" ca="1" si="6"/>
        <v/>
      </c>
      <c r="O61" s="11" t="str">
        <f t="shared" si="7"/>
        <v/>
      </c>
    </row>
    <row r="62" spans="1:15" ht="15.6" x14ac:dyDescent="0.3">
      <c r="A62" s="6">
        <v>2691</v>
      </c>
      <c r="B62" s="1" t="str">
        <f>IFERROR(VLOOKUP(A62,'[1]Master File'!$A$2:$C$312,3,0)," ")</f>
        <v>Abu thahir</v>
      </c>
      <c r="C62" s="3" t="s">
        <v>19</v>
      </c>
      <c r="D62" s="5">
        <v>45748</v>
      </c>
      <c r="E62" s="61">
        <v>45760</v>
      </c>
      <c r="F62" s="1">
        <f t="shared" si="4"/>
        <v>13</v>
      </c>
      <c r="G62" s="9">
        <v>45761</v>
      </c>
      <c r="I62" s="10" t="str">
        <f t="shared" ca="1" si="5"/>
        <v>Rejoined</v>
      </c>
      <c r="N62" s="10" t="str">
        <f t="shared" ca="1" si="6"/>
        <v/>
      </c>
      <c r="O62" s="11"/>
    </row>
    <row r="63" spans="1:15" ht="15.6" x14ac:dyDescent="0.3">
      <c r="A63" s="6">
        <v>2690</v>
      </c>
      <c r="B63" s="1" t="str">
        <f>IFERROR(VLOOKUP(A63,'[1]Master File'!$A$2:$C$312,3,0)," ")</f>
        <v>Joyce V Camposano</v>
      </c>
      <c r="C63" s="2" t="s">
        <v>15</v>
      </c>
      <c r="D63" s="5">
        <v>45748</v>
      </c>
      <c r="E63" s="61">
        <v>45777</v>
      </c>
      <c r="F63" s="1">
        <f t="shared" si="4"/>
        <v>30</v>
      </c>
      <c r="G63" s="9" t="s">
        <v>24</v>
      </c>
      <c r="I63" s="10" t="str">
        <f t="shared" ca="1" si="5"/>
        <v>Rejoined</v>
      </c>
      <c r="N63" s="10" t="str">
        <f t="shared" ca="1" si="6"/>
        <v/>
      </c>
      <c r="O63" s="11"/>
    </row>
    <row r="64" spans="1:15" ht="15.6" x14ac:dyDescent="0.3">
      <c r="A64" s="6">
        <v>266</v>
      </c>
      <c r="B64" s="1" t="str">
        <f>IFERROR(VLOOKUP(A64,'[1]Master File'!$A$2:$C$312,3,0)," ")</f>
        <v>Shareef Asadullah Muhammad</v>
      </c>
      <c r="C64" s="2" t="s">
        <v>15</v>
      </c>
      <c r="D64" s="5">
        <v>45749</v>
      </c>
      <c r="E64" s="61">
        <v>45751</v>
      </c>
      <c r="F64" s="1">
        <f t="shared" si="4"/>
        <v>3</v>
      </c>
      <c r="G64" s="9">
        <v>45754</v>
      </c>
      <c r="I64" s="10" t="str">
        <f t="shared" ca="1" si="5"/>
        <v>Rejoined</v>
      </c>
      <c r="N64" s="10" t="str">
        <f t="shared" ca="1" si="6"/>
        <v/>
      </c>
      <c r="O64" s="11">
        <f>IF(AND(G64&lt;&gt;"", G64 &gt; E64, (G64 - E64) &lt;&gt; 1), G64 - E64, "")</f>
        <v>3</v>
      </c>
    </row>
    <row r="65" spans="1:15" ht="15.6" x14ac:dyDescent="0.3">
      <c r="A65" s="6">
        <v>2078</v>
      </c>
      <c r="B65" s="1" t="str">
        <f>IFERROR(VLOOKUP(A65,'[1]Master File'!$A$2:$C$312,3,0)," ")</f>
        <v>Jabeena Ponmanichi Baboo</v>
      </c>
      <c r="C65" s="2" t="s">
        <v>15</v>
      </c>
      <c r="D65" s="5">
        <v>45750</v>
      </c>
      <c r="E65" s="61">
        <v>45756</v>
      </c>
      <c r="F65" s="1">
        <f t="shared" si="4"/>
        <v>7</v>
      </c>
      <c r="G65" s="9">
        <v>45757</v>
      </c>
      <c r="I65" s="10" t="str">
        <f t="shared" ca="1" si="5"/>
        <v>Rejoined</v>
      </c>
      <c r="N65" s="10" t="str">
        <f t="shared" ca="1" si="6"/>
        <v/>
      </c>
      <c r="O65" s="11" t="str">
        <f>IF(AND(G65&lt;&gt;"", G65 &gt; E65, (G65 - E65) &lt;&gt; 1), G65 - E65, "")</f>
        <v/>
      </c>
    </row>
    <row r="66" spans="1:15" ht="15.6" x14ac:dyDescent="0.3">
      <c r="A66" s="6">
        <v>1417</v>
      </c>
      <c r="B66" s="1" t="str">
        <f>IFERROR(VLOOKUP(A66,'[1]Master File'!$A$2:$C$312,3,0)," ")</f>
        <v>Nawab Afaque Mohammed Khan</v>
      </c>
      <c r="C66" s="2" t="s">
        <v>15</v>
      </c>
      <c r="D66" s="5">
        <v>45750</v>
      </c>
      <c r="E66" s="61">
        <v>45768</v>
      </c>
      <c r="F66" s="1">
        <f t="shared" ref="F66:F96" si="8">IF(OR(D66="",E66 =""), "", E66 - D66+ 1)</f>
        <v>19</v>
      </c>
      <c r="G66" s="9">
        <v>45768</v>
      </c>
      <c r="I66" s="10" t="str">
        <f t="shared" ref="I66:I96" ca="1" si="9">IF(AND(G66="", E66="", D66=""), "", IF(D66&gt;TODAY(), "Applied", IF(G66&lt;&gt;"", IF(G66&lt;E66, "Early Rejoin", "Rejoined"), IF(E66&gt;TODAY(), "On Leave", "Not Rejoined"))))</f>
        <v>Rejoined</v>
      </c>
      <c r="N66" s="10" t="str">
        <f t="shared" ref="N66:N96" ca="1" si="10">IF(AND(E66&lt;&gt;"", E66&gt;=TODAY(), E66&lt;=TODAY()+3), "Rejoin Follow Up", "")</f>
        <v/>
      </c>
      <c r="O66" s="11" t="str">
        <f>IF(AND(G66&lt;&gt;"", G66 &gt; E66, (G66 - E66) &lt;&gt; 1), G66 - E66, "")</f>
        <v/>
      </c>
    </row>
    <row r="67" spans="1:15" ht="15.6" x14ac:dyDescent="0.3">
      <c r="A67" s="6">
        <v>2397</v>
      </c>
      <c r="B67" s="1" t="str">
        <f>IFERROR(VLOOKUP(A67,'[1]Master File'!$A$2:$C$312,3,0)," ")</f>
        <v>Justin Jose</v>
      </c>
      <c r="C67" s="2" t="s">
        <v>14</v>
      </c>
      <c r="D67" s="5">
        <v>45751</v>
      </c>
      <c r="E67" s="61">
        <v>45771</v>
      </c>
      <c r="F67" s="1">
        <f t="shared" si="8"/>
        <v>21</v>
      </c>
      <c r="G67" s="9">
        <v>45771</v>
      </c>
      <c r="I67" s="10" t="str">
        <f t="shared" ca="1" si="9"/>
        <v>Rejoined</v>
      </c>
      <c r="N67" s="10" t="str">
        <f t="shared" ca="1" si="10"/>
        <v/>
      </c>
      <c r="O67" s="11"/>
    </row>
    <row r="68" spans="1:15" ht="15.6" x14ac:dyDescent="0.3">
      <c r="A68" s="6">
        <v>1399</v>
      </c>
      <c r="B68" s="1" t="str">
        <f>IFERROR(VLOOKUP(A68,'[1]Master File'!$A$2:$C$312,3,0)," ")</f>
        <v>Bachittar Singh</v>
      </c>
      <c r="C68" s="4" t="s">
        <v>14</v>
      </c>
      <c r="D68" s="5">
        <v>45755</v>
      </c>
      <c r="E68" s="61">
        <v>45761</v>
      </c>
      <c r="F68" s="1">
        <f t="shared" si="8"/>
        <v>7</v>
      </c>
      <c r="G68" s="9">
        <v>45803</v>
      </c>
      <c r="I68" s="10" t="str">
        <f t="shared" ca="1" si="9"/>
        <v>Rejoined</v>
      </c>
      <c r="N68" s="10" t="str">
        <f t="shared" ca="1" si="10"/>
        <v/>
      </c>
      <c r="O68" s="11">
        <f t="shared" ref="O68:O98" si="11">IF(AND(G68&lt;&gt;"", G68 &gt; E68, (G68 - E68) &lt;&gt; 1), G68 - E68, "")</f>
        <v>42</v>
      </c>
    </row>
    <row r="69" spans="1:15" ht="15.6" x14ac:dyDescent="0.3">
      <c r="A69" s="6">
        <v>1699</v>
      </c>
      <c r="B69" s="1" t="str">
        <f>IFERROR(VLOOKUP(A69,'[1]Master File'!$A$2:$C$312,3,0)," ")</f>
        <v>Rejanesh Kumar Raghavan</v>
      </c>
      <c r="C69" s="2" t="s">
        <v>15</v>
      </c>
      <c r="D69" s="5">
        <v>45758</v>
      </c>
      <c r="E69" s="61">
        <v>45818</v>
      </c>
      <c r="F69" s="1">
        <f t="shared" si="8"/>
        <v>61</v>
      </c>
      <c r="G69" s="9">
        <v>45826</v>
      </c>
      <c r="I69" s="10" t="str">
        <f t="shared" ca="1" si="9"/>
        <v>Rejoined</v>
      </c>
      <c r="N69" s="10" t="str">
        <f t="shared" ca="1" si="10"/>
        <v/>
      </c>
      <c r="O69" s="11">
        <f t="shared" si="11"/>
        <v>8</v>
      </c>
    </row>
    <row r="70" spans="1:15" ht="15.6" x14ac:dyDescent="0.3">
      <c r="A70" s="6">
        <v>2472</v>
      </c>
      <c r="B70" s="1" t="str">
        <f>IFERROR(VLOOKUP(A70,'[1]Master File'!$A$2:$C$312,3,0)," ")</f>
        <v>Abdur Rehman</v>
      </c>
      <c r="C70" s="2" t="s">
        <v>15</v>
      </c>
      <c r="D70" s="5">
        <v>45759</v>
      </c>
      <c r="E70" s="61">
        <v>45819</v>
      </c>
      <c r="F70" s="1">
        <f t="shared" si="8"/>
        <v>61</v>
      </c>
      <c r="G70" s="9">
        <v>45877</v>
      </c>
      <c r="I70" s="10" t="str">
        <f t="shared" ca="1" si="9"/>
        <v>Rejoined</v>
      </c>
      <c r="N70" s="10" t="str">
        <f t="shared" ca="1" si="10"/>
        <v/>
      </c>
      <c r="O70" s="11">
        <f t="shared" si="11"/>
        <v>58</v>
      </c>
    </row>
    <row r="71" spans="1:15" ht="15.6" x14ac:dyDescent="0.3">
      <c r="A71" s="6">
        <v>279</v>
      </c>
      <c r="B71" s="1" t="str">
        <f>IFERROR(VLOOKUP(A71,'[1]Master File'!$A$2:$C$312,3,0)," ")</f>
        <v>Siful Islam Abdul Samad</v>
      </c>
      <c r="C71" s="2" t="s">
        <v>15</v>
      </c>
      <c r="D71" s="5">
        <v>45760</v>
      </c>
      <c r="E71" s="61">
        <v>45790</v>
      </c>
      <c r="F71" s="1">
        <f t="shared" si="8"/>
        <v>31</v>
      </c>
      <c r="G71" s="9">
        <v>45791</v>
      </c>
      <c r="I71" s="10" t="str">
        <f t="shared" ca="1" si="9"/>
        <v>Rejoined</v>
      </c>
      <c r="N71" s="10" t="str">
        <f t="shared" ca="1" si="10"/>
        <v/>
      </c>
      <c r="O71" s="11" t="str">
        <f t="shared" si="11"/>
        <v/>
      </c>
    </row>
    <row r="72" spans="1:15" ht="15.6" x14ac:dyDescent="0.3">
      <c r="A72" s="6">
        <v>2595</v>
      </c>
      <c r="B72" s="1" t="str">
        <f>IFERROR(VLOOKUP(A72,'[1]Master File'!$A$2:$C$312,3,0)," ")</f>
        <v>Nand Kishor Mahto</v>
      </c>
      <c r="C72" s="2" t="s">
        <v>15</v>
      </c>
      <c r="D72" s="5">
        <v>45761</v>
      </c>
      <c r="E72" s="61">
        <v>45820</v>
      </c>
      <c r="F72" s="1">
        <f t="shared" si="8"/>
        <v>60</v>
      </c>
      <c r="G72" s="9">
        <v>45830</v>
      </c>
      <c r="I72" s="10" t="str">
        <f t="shared" ca="1" si="9"/>
        <v>Rejoined</v>
      </c>
      <c r="N72" s="10" t="str">
        <f t="shared" ca="1" si="10"/>
        <v/>
      </c>
      <c r="O72" s="11">
        <f t="shared" si="11"/>
        <v>10</v>
      </c>
    </row>
    <row r="73" spans="1:15" ht="15.6" x14ac:dyDescent="0.3">
      <c r="A73" s="6">
        <v>2381</v>
      </c>
      <c r="B73" s="1" t="str">
        <f>IFERROR(VLOOKUP(A73,'[1]Master File'!$A$2:$C$312,3,0)," ")</f>
        <v>Sunil Kumar Kuswaha</v>
      </c>
      <c r="C73" s="2" t="s">
        <v>15</v>
      </c>
      <c r="D73" s="5">
        <v>45761</v>
      </c>
      <c r="E73" s="61">
        <v>45821</v>
      </c>
      <c r="F73" s="1">
        <f t="shared" si="8"/>
        <v>61</v>
      </c>
      <c r="G73" s="9">
        <v>45807</v>
      </c>
      <c r="I73" s="10" t="str">
        <f t="shared" ca="1" si="9"/>
        <v>Early Rejoin</v>
      </c>
      <c r="N73" s="10" t="str">
        <f t="shared" ca="1" si="10"/>
        <v/>
      </c>
      <c r="O73" s="11" t="str">
        <f t="shared" si="11"/>
        <v/>
      </c>
    </row>
    <row r="74" spans="1:15" ht="15.6" x14ac:dyDescent="0.3">
      <c r="A74" s="6">
        <v>334</v>
      </c>
      <c r="B74" s="1" t="str">
        <f>IFERROR(VLOOKUP(A74,'[1]Master File'!$A$2:$C$312,3,0)," ")</f>
        <v>Zulfikar Ali Abdul Majeed</v>
      </c>
      <c r="C74" s="2" t="s">
        <v>15</v>
      </c>
      <c r="D74" s="5">
        <v>45761</v>
      </c>
      <c r="E74" s="61">
        <v>45762</v>
      </c>
      <c r="F74" s="1">
        <f t="shared" si="8"/>
        <v>2</v>
      </c>
      <c r="G74" s="9">
        <v>45763</v>
      </c>
      <c r="I74" s="10" t="str">
        <f t="shared" ca="1" si="9"/>
        <v>Rejoined</v>
      </c>
      <c r="N74" s="10" t="str">
        <f t="shared" ca="1" si="10"/>
        <v/>
      </c>
      <c r="O74" s="11" t="str">
        <f t="shared" si="11"/>
        <v/>
      </c>
    </row>
    <row r="75" spans="1:15" ht="15.6" x14ac:dyDescent="0.3">
      <c r="A75" s="6">
        <v>1206</v>
      </c>
      <c r="B75" s="1" t="str">
        <f>IFERROR(VLOOKUP(A75,'[1]Master File'!$A$2:$C$312,3,0)," ")</f>
        <v>Muhammad Saleem Muhammad Asghar</v>
      </c>
      <c r="C75" s="2" t="s">
        <v>15</v>
      </c>
      <c r="D75" s="5">
        <v>45761</v>
      </c>
      <c r="E75" s="61">
        <v>45820</v>
      </c>
      <c r="F75" s="1">
        <f t="shared" si="8"/>
        <v>60</v>
      </c>
      <c r="G75" s="9">
        <v>45835</v>
      </c>
      <c r="I75" s="10" t="str">
        <f t="shared" ca="1" si="9"/>
        <v>Rejoined</v>
      </c>
      <c r="N75" s="10" t="str">
        <f t="shared" ca="1" si="10"/>
        <v/>
      </c>
      <c r="O75" s="11">
        <f t="shared" si="11"/>
        <v>15</v>
      </c>
    </row>
    <row r="76" spans="1:15" ht="15.6" x14ac:dyDescent="0.3">
      <c r="A76" s="6">
        <v>2777</v>
      </c>
      <c r="B76" s="1" t="str">
        <f>IFERROR(VLOOKUP(A76,'[1]Master File'!$A$2:$C$312,3,0)," ")</f>
        <v xml:space="preserve"> </v>
      </c>
      <c r="C76" s="2" t="s">
        <v>14</v>
      </c>
      <c r="D76" s="5">
        <v>45761</v>
      </c>
      <c r="E76" s="61">
        <v>45770</v>
      </c>
      <c r="F76" s="1">
        <f t="shared" si="8"/>
        <v>10</v>
      </c>
      <c r="G76" s="9">
        <v>45778</v>
      </c>
      <c r="I76" s="10" t="str">
        <f t="shared" ca="1" si="9"/>
        <v>Rejoined</v>
      </c>
      <c r="N76" s="10" t="str">
        <f t="shared" ca="1" si="10"/>
        <v/>
      </c>
      <c r="O76" s="11">
        <f t="shared" si="11"/>
        <v>8</v>
      </c>
    </row>
    <row r="77" spans="1:15" ht="15.6" x14ac:dyDescent="0.3">
      <c r="A77" s="6">
        <v>835</v>
      </c>
      <c r="B77" s="1" t="str">
        <f>IFERROR(VLOOKUP(A77,'[1]Master File'!$A$2:$C$312,3,0)," ")</f>
        <v>Asim Abbas Sadiq Ali</v>
      </c>
      <c r="C77" s="2" t="s">
        <v>22</v>
      </c>
      <c r="D77" s="5">
        <v>45764</v>
      </c>
      <c r="E77" s="61">
        <v>45770</v>
      </c>
      <c r="F77" s="1">
        <f t="shared" si="8"/>
        <v>7</v>
      </c>
      <c r="G77" s="9">
        <v>45771</v>
      </c>
      <c r="I77" s="10" t="str">
        <f t="shared" ca="1" si="9"/>
        <v>Rejoined</v>
      </c>
      <c r="N77" s="10" t="str">
        <f t="shared" ca="1" si="10"/>
        <v/>
      </c>
      <c r="O77" s="11" t="str">
        <f t="shared" si="11"/>
        <v/>
      </c>
    </row>
    <row r="78" spans="1:15" ht="15.6" x14ac:dyDescent="0.3">
      <c r="A78" s="6">
        <v>2580</v>
      </c>
      <c r="B78" s="1" t="str">
        <f>IFERROR(VLOOKUP(A78,'[1]Master File'!$A$2:$C$312,3,0)," ")</f>
        <v>Nicolo Montesi</v>
      </c>
      <c r="C78" s="2" t="s">
        <v>21</v>
      </c>
      <c r="D78" s="5">
        <v>45765</v>
      </c>
      <c r="E78" s="61">
        <v>45774</v>
      </c>
      <c r="F78" s="1">
        <f t="shared" si="8"/>
        <v>10</v>
      </c>
      <c r="G78" s="9">
        <v>45775</v>
      </c>
      <c r="I78" s="10" t="str">
        <f t="shared" ca="1" si="9"/>
        <v>Rejoined</v>
      </c>
      <c r="N78" s="10" t="str">
        <f t="shared" ca="1" si="10"/>
        <v/>
      </c>
      <c r="O78" s="11" t="str">
        <f t="shared" si="11"/>
        <v/>
      </c>
    </row>
    <row r="79" spans="1:15" ht="15.6" x14ac:dyDescent="0.3">
      <c r="A79" s="6">
        <v>334</v>
      </c>
      <c r="B79" s="1" t="str">
        <f>IFERROR(VLOOKUP(A79,'[1]Master File'!$A$2:$C$312,3,0)," ")</f>
        <v>Zulfikar Ali Abdul Majeed</v>
      </c>
      <c r="C79" s="2" t="s">
        <v>14</v>
      </c>
      <c r="D79" s="5">
        <v>45766</v>
      </c>
      <c r="E79" s="61">
        <v>45770</v>
      </c>
      <c r="F79" s="1">
        <f t="shared" si="8"/>
        <v>5</v>
      </c>
      <c r="G79" s="9">
        <v>45771</v>
      </c>
      <c r="I79" s="10" t="str">
        <f t="shared" ca="1" si="9"/>
        <v>Rejoined</v>
      </c>
      <c r="N79" s="10" t="str">
        <f t="shared" ca="1" si="10"/>
        <v/>
      </c>
      <c r="O79" s="11" t="str">
        <f t="shared" si="11"/>
        <v/>
      </c>
    </row>
    <row r="80" spans="1:15" ht="15.6" x14ac:dyDescent="0.3">
      <c r="A80" s="6">
        <v>439</v>
      </c>
      <c r="B80" s="1" t="str">
        <f>IFERROR(VLOOKUP(A80,'[1]Master File'!$A$2:$C$312,3,0)," ")</f>
        <v>Prasith Ponnara Kandy</v>
      </c>
      <c r="C80" s="2" t="s">
        <v>15</v>
      </c>
      <c r="D80" s="5">
        <v>45768</v>
      </c>
      <c r="E80" s="61">
        <v>45782</v>
      </c>
      <c r="F80" s="1">
        <f t="shared" si="8"/>
        <v>15</v>
      </c>
      <c r="G80" s="9">
        <v>45783</v>
      </c>
      <c r="I80" s="10" t="str">
        <f t="shared" ca="1" si="9"/>
        <v>Rejoined</v>
      </c>
      <c r="N80" s="10" t="str">
        <f t="shared" ca="1" si="10"/>
        <v/>
      </c>
      <c r="O80" s="11" t="str">
        <f t="shared" si="11"/>
        <v/>
      </c>
    </row>
    <row r="81" spans="1:15" ht="15.6" x14ac:dyDescent="0.3">
      <c r="A81" s="6">
        <v>2286</v>
      </c>
      <c r="B81" s="1" t="str">
        <f>IFERROR(VLOOKUP(A81,'[1]Master File'!$A$2:$C$312,3,0)," ")</f>
        <v>Aqil Javed</v>
      </c>
      <c r="C81" s="2" t="s">
        <v>14</v>
      </c>
      <c r="D81" s="5">
        <v>45772</v>
      </c>
      <c r="E81" s="61">
        <v>45782</v>
      </c>
      <c r="F81" s="1">
        <f t="shared" si="8"/>
        <v>11</v>
      </c>
      <c r="G81" s="9">
        <v>45832</v>
      </c>
      <c r="I81" s="10" t="str">
        <f t="shared" ca="1" si="9"/>
        <v>Rejoined</v>
      </c>
      <c r="N81" s="10" t="str">
        <f t="shared" ca="1" si="10"/>
        <v/>
      </c>
      <c r="O81" s="11">
        <f t="shared" si="11"/>
        <v>50</v>
      </c>
    </row>
    <row r="82" spans="1:15" ht="15.6" x14ac:dyDescent="0.3">
      <c r="A82" s="6">
        <v>1307</v>
      </c>
      <c r="B82" s="1" t="str">
        <f>IFERROR(VLOOKUP(A82,'[1]Master File'!$A$2:$C$312,3,0)," ")</f>
        <v>Praveen Prakash Noha</v>
      </c>
      <c r="C82" s="2" t="s">
        <v>14</v>
      </c>
      <c r="D82" s="5">
        <v>45775</v>
      </c>
      <c r="E82" s="61">
        <v>45789</v>
      </c>
      <c r="F82" s="1">
        <f t="shared" si="8"/>
        <v>15</v>
      </c>
      <c r="G82" s="9">
        <v>45793</v>
      </c>
      <c r="I82" s="10" t="str">
        <f t="shared" ca="1" si="9"/>
        <v>Rejoined</v>
      </c>
      <c r="N82" s="10" t="str">
        <f t="shared" ca="1" si="10"/>
        <v/>
      </c>
      <c r="O82" s="11">
        <f t="shared" si="11"/>
        <v>4</v>
      </c>
    </row>
    <row r="83" spans="1:15" ht="15.6" x14ac:dyDescent="0.3">
      <c r="A83" s="6">
        <v>791</v>
      </c>
      <c r="B83" s="1" t="str">
        <f>IFERROR(VLOOKUP(A83,'[1]Master File'!$A$2:$C$312,3,0)," ")</f>
        <v>Yuvaraj Chauhan</v>
      </c>
      <c r="C83" s="2" t="s">
        <v>14</v>
      </c>
      <c r="D83" s="5">
        <v>45778</v>
      </c>
      <c r="E83" s="61">
        <v>45804</v>
      </c>
      <c r="F83" s="1">
        <f t="shared" si="8"/>
        <v>27</v>
      </c>
      <c r="G83" s="9">
        <v>45805</v>
      </c>
      <c r="I83" s="10" t="str">
        <f t="shared" ca="1" si="9"/>
        <v>Rejoined</v>
      </c>
      <c r="N83" s="10" t="str">
        <f t="shared" ca="1" si="10"/>
        <v/>
      </c>
      <c r="O83" s="11" t="str">
        <f t="shared" si="11"/>
        <v/>
      </c>
    </row>
    <row r="84" spans="1:15" ht="15.6" x14ac:dyDescent="0.3">
      <c r="A84" s="6">
        <v>2481</v>
      </c>
      <c r="B84" s="1" t="str">
        <f>IFERROR(VLOOKUP(A84,'[1]Master File'!$A$2:$C$312,3,0)," ")</f>
        <v>Albin Kavil Joseph</v>
      </c>
      <c r="C84" s="2" t="s">
        <v>14</v>
      </c>
      <c r="D84" s="5">
        <v>45782</v>
      </c>
      <c r="E84" s="61">
        <v>45796</v>
      </c>
      <c r="F84" s="1">
        <f t="shared" si="8"/>
        <v>15</v>
      </c>
      <c r="G84" s="9">
        <v>45804</v>
      </c>
      <c r="I84" s="10" t="str">
        <f t="shared" ca="1" si="9"/>
        <v>Rejoined</v>
      </c>
      <c r="N84" s="10" t="str">
        <f t="shared" ca="1" si="10"/>
        <v/>
      </c>
      <c r="O84" s="11">
        <f t="shared" si="11"/>
        <v>8</v>
      </c>
    </row>
    <row r="85" spans="1:15" ht="15.6" x14ac:dyDescent="0.3">
      <c r="A85" s="6">
        <v>2446</v>
      </c>
      <c r="B85" s="1" t="str">
        <f>IFERROR(VLOOKUP(A85,'[1]Master File'!$A$2:$C$312,3,0)," ")</f>
        <v xml:space="preserve"> </v>
      </c>
      <c r="C85" s="2" t="s">
        <v>14</v>
      </c>
      <c r="D85" s="5">
        <v>45785</v>
      </c>
      <c r="E85" s="61">
        <v>45791</v>
      </c>
      <c r="F85" s="1">
        <f t="shared" si="8"/>
        <v>7</v>
      </c>
      <c r="G85" s="9">
        <v>45792</v>
      </c>
      <c r="I85" s="10" t="str">
        <f t="shared" ca="1" si="9"/>
        <v>Rejoined</v>
      </c>
      <c r="N85" s="10" t="str">
        <f t="shared" ca="1" si="10"/>
        <v/>
      </c>
      <c r="O85" s="11" t="str">
        <f t="shared" si="11"/>
        <v/>
      </c>
    </row>
    <row r="86" spans="1:15" ht="15.6" x14ac:dyDescent="0.3">
      <c r="A86" s="6">
        <v>2682</v>
      </c>
      <c r="B86" s="1" t="str">
        <f>IFERROR(VLOOKUP(A86,'[1]Master File'!$A$2:$C$312,3,0)," ")</f>
        <v>Yasa Rakesh</v>
      </c>
      <c r="C86" s="2" t="s">
        <v>14</v>
      </c>
      <c r="D86" s="5">
        <v>45785</v>
      </c>
      <c r="E86" s="61">
        <v>45792</v>
      </c>
      <c r="F86" s="1">
        <f t="shared" si="8"/>
        <v>8</v>
      </c>
      <c r="G86" s="9">
        <v>45796</v>
      </c>
      <c r="I86" s="10" t="str">
        <f t="shared" ca="1" si="9"/>
        <v>Rejoined</v>
      </c>
      <c r="N86" s="10" t="str">
        <f t="shared" ca="1" si="10"/>
        <v/>
      </c>
      <c r="O86" s="11">
        <f t="shared" si="11"/>
        <v>4</v>
      </c>
    </row>
    <row r="87" spans="1:15" ht="15.6" x14ac:dyDescent="0.3">
      <c r="A87" s="6">
        <v>2471</v>
      </c>
      <c r="B87" s="1" t="str">
        <f>IFERROR(VLOOKUP(A87,'[1]Master File'!$A$2:$C$312,3,0)," ")</f>
        <v>Gobri Yadav</v>
      </c>
      <c r="C87" s="2" t="s">
        <v>15</v>
      </c>
      <c r="D87" s="5">
        <v>45787</v>
      </c>
      <c r="E87" s="61">
        <v>45848</v>
      </c>
      <c r="F87" s="1">
        <f t="shared" si="8"/>
        <v>62</v>
      </c>
      <c r="G87" s="9">
        <v>45867</v>
      </c>
      <c r="I87" s="10" t="str">
        <f t="shared" ca="1" si="9"/>
        <v>Rejoined</v>
      </c>
      <c r="N87" s="10" t="str">
        <f t="shared" ca="1" si="10"/>
        <v/>
      </c>
      <c r="O87" s="11">
        <f t="shared" si="11"/>
        <v>19</v>
      </c>
    </row>
    <row r="88" spans="1:15" ht="15.6" x14ac:dyDescent="0.3">
      <c r="A88" s="6">
        <v>399</v>
      </c>
      <c r="B88" s="1" t="str">
        <f>IFERROR(VLOOKUP(A88,'[1]Master File'!$A$2:$C$312,3,0)," ")</f>
        <v>Mohammed Parvez Kamal Uddin</v>
      </c>
      <c r="C88" s="2" t="s">
        <v>15</v>
      </c>
      <c r="D88" s="5">
        <v>45788</v>
      </c>
      <c r="E88" s="61">
        <v>45854</v>
      </c>
      <c r="F88" s="1">
        <f t="shared" si="8"/>
        <v>67</v>
      </c>
      <c r="G88" s="9">
        <v>45858</v>
      </c>
      <c r="I88" s="10" t="str">
        <f t="shared" ca="1" si="9"/>
        <v>Rejoined</v>
      </c>
      <c r="N88" s="10" t="str">
        <f t="shared" ca="1" si="10"/>
        <v/>
      </c>
      <c r="O88" s="11">
        <f t="shared" si="11"/>
        <v>4</v>
      </c>
    </row>
    <row r="89" spans="1:15" ht="15.6" x14ac:dyDescent="0.3">
      <c r="A89" s="6">
        <v>2331</v>
      </c>
      <c r="B89" s="1" t="str">
        <f>IFERROR(VLOOKUP(A89,'[1]Master File'!$A$2:$C$312,3,0)," ")</f>
        <v xml:space="preserve">Sanjeet Kumar </v>
      </c>
      <c r="C89" s="2" t="s">
        <v>15</v>
      </c>
      <c r="D89" s="5">
        <v>45789</v>
      </c>
      <c r="E89" s="61">
        <v>45848</v>
      </c>
      <c r="F89" s="1">
        <f t="shared" si="8"/>
        <v>60</v>
      </c>
      <c r="G89" s="9">
        <v>45862</v>
      </c>
      <c r="I89" s="10" t="str">
        <f t="shared" ca="1" si="9"/>
        <v>Rejoined</v>
      </c>
      <c r="N89" s="10" t="str">
        <f t="shared" ca="1" si="10"/>
        <v/>
      </c>
      <c r="O89" s="11">
        <f t="shared" si="11"/>
        <v>14</v>
      </c>
    </row>
    <row r="90" spans="1:15" ht="15.6" x14ac:dyDescent="0.3">
      <c r="A90" s="6">
        <v>2720</v>
      </c>
      <c r="B90" s="1" t="str">
        <f>IFERROR(VLOOKUP(A90,'[1]Master File'!$A$2:$C$312,3,0)," ")</f>
        <v>Motius Micheal</v>
      </c>
      <c r="C90" s="2" t="s">
        <v>14</v>
      </c>
      <c r="D90" s="5">
        <v>45791</v>
      </c>
      <c r="E90" s="61">
        <v>45801</v>
      </c>
      <c r="F90" s="1">
        <f t="shared" si="8"/>
        <v>11</v>
      </c>
      <c r="G90" s="9">
        <v>45812</v>
      </c>
      <c r="I90" s="10" t="str">
        <f t="shared" ca="1" si="9"/>
        <v>Rejoined</v>
      </c>
      <c r="N90" s="10" t="str">
        <f t="shared" ca="1" si="10"/>
        <v/>
      </c>
      <c r="O90" s="11">
        <f t="shared" si="11"/>
        <v>11</v>
      </c>
    </row>
    <row r="91" spans="1:15" ht="15.6" x14ac:dyDescent="0.3">
      <c r="A91" s="6">
        <v>2643</v>
      </c>
      <c r="B91" s="1" t="str">
        <f>IFERROR(VLOOKUP(A91,'[1]Master File'!$A$2:$C$312,3,0)," ")</f>
        <v>Muhammed Rassel</v>
      </c>
      <c r="C91" s="2" t="s">
        <v>15</v>
      </c>
      <c r="D91" s="5">
        <v>45796</v>
      </c>
      <c r="E91" s="61">
        <v>45825</v>
      </c>
      <c r="F91" s="1">
        <f t="shared" si="8"/>
        <v>30</v>
      </c>
      <c r="G91" s="9">
        <v>45837</v>
      </c>
      <c r="I91" s="10" t="str">
        <f t="shared" ca="1" si="9"/>
        <v>Rejoined</v>
      </c>
      <c r="N91" s="10" t="str">
        <f t="shared" ca="1" si="10"/>
        <v/>
      </c>
      <c r="O91" s="11">
        <f t="shared" si="11"/>
        <v>12</v>
      </c>
    </row>
    <row r="92" spans="1:15" ht="15.6" x14ac:dyDescent="0.3">
      <c r="A92" s="6">
        <v>2628</v>
      </c>
      <c r="B92" s="1" t="str">
        <f>IFERROR(VLOOKUP(A92,'[1]Master File'!$A$2:$C$312,3,0)," ")</f>
        <v>Sona Kizhakudan Prince</v>
      </c>
      <c r="C92" s="2" t="s">
        <v>14</v>
      </c>
      <c r="D92" s="5">
        <v>45796</v>
      </c>
      <c r="E92" s="61">
        <v>45807</v>
      </c>
      <c r="F92" s="1">
        <f t="shared" si="8"/>
        <v>12</v>
      </c>
      <c r="G92" s="9">
        <v>45808</v>
      </c>
      <c r="I92" s="10" t="str">
        <f t="shared" ca="1" si="9"/>
        <v>Rejoined</v>
      </c>
      <c r="N92" s="10" t="str">
        <f t="shared" ca="1" si="10"/>
        <v/>
      </c>
      <c r="O92" s="11" t="str">
        <f t="shared" si="11"/>
        <v/>
      </c>
    </row>
    <row r="93" spans="1:15" ht="15.6" x14ac:dyDescent="0.3">
      <c r="A93" s="6">
        <v>2330</v>
      </c>
      <c r="B93" s="1" t="str">
        <f>IFERROR(VLOOKUP(A93,'[1]Master File'!$A$2:$C$312,3,0)," ")</f>
        <v>Amritlal Ramanand</v>
      </c>
      <c r="C93" s="2" t="s">
        <v>15</v>
      </c>
      <c r="D93" s="5">
        <v>45796</v>
      </c>
      <c r="E93" s="61">
        <v>45857</v>
      </c>
      <c r="F93" s="1">
        <f t="shared" si="8"/>
        <v>62</v>
      </c>
      <c r="G93" s="9">
        <v>45861</v>
      </c>
      <c r="I93" s="10" t="str">
        <f t="shared" ca="1" si="9"/>
        <v>Rejoined</v>
      </c>
      <c r="N93" s="10" t="str">
        <f t="shared" ca="1" si="10"/>
        <v/>
      </c>
      <c r="O93" s="11">
        <f t="shared" si="11"/>
        <v>4</v>
      </c>
    </row>
    <row r="94" spans="1:15" ht="15.6" x14ac:dyDescent="0.3">
      <c r="A94" s="6">
        <v>2430</v>
      </c>
      <c r="B94" s="1" t="str">
        <f>IFERROR(VLOOKUP(A94,'[1]Master File'!$A$2:$C$312,3,0)," ")</f>
        <v>Md Masum</v>
      </c>
      <c r="C94" s="2" t="s">
        <v>15</v>
      </c>
      <c r="D94" s="5">
        <v>45797</v>
      </c>
      <c r="E94" s="61">
        <v>45856</v>
      </c>
      <c r="F94" s="1">
        <f t="shared" si="8"/>
        <v>60</v>
      </c>
      <c r="G94" s="9">
        <v>45887</v>
      </c>
      <c r="I94" s="10" t="str">
        <f t="shared" ca="1" si="9"/>
        <v>Rejoined</v>
      </c>
      <c r="N94" s="10" t="str">
        <f t="shared" ca="1" si="10"/>
        <v/>
      </c>
      <c r="O94" s="11">
        <f t="shared" si="11"/>
        <v>31</v>
      </c>
    </row>
    <row r="95" spans="1:15" ht="15.6" x14ac:dyDescent="0.3">
      <c r="A95" s="6">
        <v>571</v>
      </c>
      <c r="B95" s="1" t="str">
        <f>IFERROR(VLOOKUP(A95,'[1]Master File'!$A$2:$C$312,3,0)," ")</f>
        <v>Abdur Rashid Abdul Awal</v>
      </c>
      <c r="C95" s="2" t="s">
        <v>15</v>
      </c>
      <c r="D95" s="5">
        <v>45797</v>
      </c>
      <c r="E95" s="61">
        <v>45856</v>
      </c>
      <c r="F95" s="1">
        <f t="shared" si="8"/>
        <v>60</v>
      </c>
      <c r="G95" s="9">
        <v>45884</v>
      </c>
      <c r="I95" s="10" t="str">
        <f t="shared" ca="1" si="9"/>
        <v>Rejoined</v>
      </c>
      <c r="N95" s="10" t="str">
        <f t="shared" ca="1" si="10"/>
        <v/>
      </c>
      <c r="O95" s="11">
        <f t="shared" si="11"/>
        <v>28</v>
      </c>
    </row>
    <row r="96" spans="1:15" ht="15.6" x14ac:dyDescent="0.3">
      <c r="A96" s="6">
        <v>2621</v>
      </c>
      <c r="B96" s="1" t="str">
        <f>IFERROR(VLOOKUP(A96,'[1]Master File'!$A$2:$C$312,3,0)," ")</f>
        <v>Fawad Zada</v>
      </c>
      <c r="C96" s="2" t="s">
        <v>15</v>
      </c>
      <c r="D96" s="5">
        <v>45797</v>
      </c>
      <c r="E96" s="61">
        <v>45858</v>
      </c>
      <c r="F96" s="1">
        <f t="shared" si="8"/>
        <v>62</v>
      </c>
      <c r="G96" s="9">
        <v>45853</v>
      </c>
      <c r="I96" s="10" t="str">
        <f t="shared" ca="1" si="9"/>
        <v>Early Rejoin</v>
      </c>
      <c r="N96" s="10" t="str">
        <f t="shared" ca="1" si="10"/>
        <v/>
      </c>
      <c r="O96" s="11" t="str">
        <f t="shared" si="11"/>
        <v/>
      </c>
    </row>
    <row r="97" spans="1:15" ht="15.6" x14ac:dyDescent="0.3">
      <c r="A97" s="6">
        <v>2501</v>
      </c>
      <c r="B97" s="1" t="str">
        <f>IFERROR(VLOOKUP(A97,'[1]Master File'!$A$2:$C$312,3,0)," ")</f>
        <v>Kamlesh Kumar Kushwaha</v>
      </c>
      <c r="C97" s="2" t="s">
        <v>14</v>
      </c>
      <c r="D97" s="5">
        <v>45798</v>
      </c>
      <c r="E97" s="61">
        <v>45811</v>
      </c>
      <c r="F97" s="1">
        <f t="shared" ref="F97:F127" si="12">IF(OR(D97="",E97 =""), "", E97 - D97+ 1)</f>
        <v>14</v>
      </c>
      <c r="G97" s="9">
        <v>45821</v>
      </c>
      <c r="I97" s="10" t="str">
        <f t="shared" ref="I97:I127" ca="1" si="13">IF(AND(G97="", E97="", D97=""), "", IF(D97&gt;TODAY(), "Applied", IF(G97&lt;&gt;"", IF(G97&lt;E97, "Early Rejoin", "Rejoined"), IF(E97&gt;TODAY(), "On Leave", "Not Rejoined"))))</f>
        <v>Rejoined</v>
      </c>
      <c r="N97" s="10" t="str">
        <f t="shared" ref="N97:N127" ca="1" si="14">IF(AND(E97&lt;&gt;"", E97&gt;=TODAY(), E97&lt;=TODAY()+3), "Rejoin Follow Up", "")</f>
        <v/>
      </c>
      <c r="O97" s="11">
        <f t="shared" si="11"/>
        <v>10</v>
      </c>
    </row>
    <row r="98" spans="1:15" ht="15.6" x14ac:dyDescent="0.3">
      <c r="A98" s="6">
        <v>924</v>
      </c>
      <c r="B98" s="1" t="str">
        <f>IFERROR(VLOOKUP(A98,'[1]Master File'!$A$2:$C$312,3,0)," ")</f>
        <v>Chandrakant Bhaskarbhai Pawar</v>
      </c>
      <c r="C98" s="2" t="s">
        <v>15</v>
      </c>
      <c r="D98" s="5">
        <v>45798</v>
      </c>
      <c r="E98" s="61">
        <v>45800</v>
      </c>
      <c r="F98" s="1">
        <f t="shared" si="12"/>
        <v>3</v>
      </c>
      <c r="G98" s="9">
        <v>45801</v>
      </c>
      <c r="I98" s="10" t="str">
        <f t="shared" ca="1" si="13"/>
        <v>Rejoined</v>
      </c>
      <c r="N98" s="10" t="str">
        <f t="shared" ca="1" si="14"/>
        <v/>
      </c>
      <c r="O98" s="11" t="str">
        <f t="shared" si="11"/>
        <v/>
      </c>
    </row>
    <row r="99" spans="1:15" ht="15.6" x14ac:dyDescent="0.3">
      <c r="A99" s="6">
        <v>2567</v>
      </c>
      <c r="B99" s="1" t="str">
        <f>IFERROR(VLOOKUP(A99,'[1]Master File'!$A$2:$C$312,3,0)," ")</f>
        <v>Muhammad Imran Muhammad Akram</v>
      </c>
      <c r="C99" s="2" t="s">
        <v>15</v>
      </c>
      <c r="D99" s="5">
        <v>45799</v>
      </c>
      <c r="E99" s="61">
        <v>45863</v>
      </c>
      <c r="F99" s="1">
        <f t="shared" si="12"/>
        <v>65</v>
      </c>
      <c r="G99" s="9">
        <v>45859</v>
      </c>
      <c r="I99" s="10" t="str">
        <f t="shared" ca="1" si="13"/>
        <v>Early Rejoin</v>
      </c>
      <c r="N99" s="10" t="str">
        <f t="shared" ca="1" si="14"/>
        <v/>
      </c>
      <c r="O99" s="11" t="str">
        <f t="shared" ref="O99:O129" si="15">IF(AND(G99&lt;&gt;"", G99 &gt; E99, (G99 - E99) &lt;&gt; 1), G99 - E99, "")</f>
        <v/>
      </c>
    </row>
    <row r="100" spans="1:15" ht="15.6" x14ac:dyDescent="0.3">
      <c r="A100" s="6">
        <v>2556</v>
      </c>
      <c r="B100" s="1" t="str">
        <f>IFERROR(VLOOKUP(A100,'[1]Master File'!$A$2:$C$312,3,0)," ")</f>
        <v>Pritish Ghosh</v>
      </c>
      <c r="C100" s="2" t="s">
        <v>15</v>
      </c>
      <c r="D100" s="5">
        <v>45803</v>
      </c>
      <c r="E100" s="61">
        <v>45830</v>
      </c>
      <c r="F100" s="1">
        <f t="shared" si="12"/>
        <v>28</v>
      </c>
      <c r="G100" s="9">
        <v>45894</v>
      </c>
      <c r="I100" s="10" t="str">
        <f t="shared" ca="1" si="13"/>
        <v>Rejoined</v>
      </c>
      <c r="N100" s="10" t="str">
        <f t="shared" ca="1" si="14"/>
        <v/>
      </c>
      <c r="O100" s="11">
        <f t="shared" si="15"/>
        <v>64</v>
      </c>
    </row>
    <row r="101" spans="1:15" ht="15.6" x14ac:dyDescent="0.3">
      <c r="A101" s="6">
        <v>333</v>
      </c>
      <c r="B101" s="1" t="str">
        <f>IFERROR(VLOOKUP(A101,'[1]Master File'!$A$2:$C$312,3,0)," ")</f>
        <v>Zohirul Islam Nuruzzaman</v>
      </c>
      <c r="C101" s="2" t="s">
        <v>15</v>
      </c>
      <c r="D101" s="5">
        <v>45803</v>
      </c>
      <c r="E101" s="61">
        <v>45834</v>
      </c>
      <c r="F101" s="1">
        <f t="shared" si="12"/>
        <v>32</v>
      </c>
      <c r="G101" s="9">
        <v>45855</v>
      </c>
      <c r="I101" s="10" t="str">
        <f t="shared" ca="1" si="13"/>
        <v>Rejoined</v>
      </c>
      <c r="N101" s="10" t="str">
        <f t="shared" ca="1" si="14"/>
        <v/>
      </c>
      <c r="O101" s="11">
        <f t="shared" si="15"/>
        <v>21</v>
      </c>
    </row>
    <row r="102" spans="1:15" ht="15.6" x14ac:dyDescent="0.3">
      <c r="A102" s="6">
        <v>630</v>
      </c>
      <c r="B102" s="1" t="str">
        <f>IFERROR(VLOOKUP(A102,'[1]Master File'!$A$2:$C$312,3,0)," ")</f>
        <v>Amir Hossain Kabir Ahmed</v>
      </c>
      <c r="C102" s="2" t="s">
        <v>15</v>
      </c>
      <c r="D102" s="5">
        <v>45803</v>
      </c>
      <c r="E102" s="61">
        <v>45862</v>
      </c>
      <c r="F102" s="1">
        <f t="shared" si="12"/>
        <v>60</v>
      </c>
      <c r="G102" s="9">
        <v>45862</v>
      </c>
      <c r="I102" s="10" t="str">
        <f t="shared" ca="1" si="13"/>
        <v>Rejoined</v>
      </c>
      <c r="N102" s="10" t="str">
        <f t="shared" ca="1" si="14"/>
        <v/>
      </c>
      <c r="O102" s="11" t="str">
        <f t="shared" si="15"/>
        <v/>
      </c>
    </row>
    <row r="103" spans="1:15" ht="15.6" x14ac:dyDescent="0.3">
      <c r="A103" s="6">
        <v>2027</v>
      </c>
      <c r="B103" s="1" t="str">
        <f>IFERROR(VLOOKUP(A103,'[1]Master File'!$A$2:$C$312,3,0)," ")</f>
        <v>Rahumathulla Mohamed Naseer</v>
      </c>
      <c r="C103" s="2" t="s">
        <v>15</v>
      </c>
      <c r="D103" s="5">
        <v>45804</v>
      </c>
      <c r="E103" s="61">
        <v>45834</v>
      </c>
      <c r="F103" s="1">
        <v>26</v>
      </c>
      <c r="G103" s="9">
        <v>45828</v>
      </c>
      <c r="I103" s="10" t="str">
        <f t="shared" ca="1" si="13"/>
        <v>Early Rejoin</v>
      </c>
      <c r="N103" s="10" t="str">
        <f t="shared" ca="1" si="14"/>
        <v/>
      </c>
      <c r="O103" s="11" t="str">
        <f t="shared" si="15"/>
        <v/>
      </c>
    </row>
    <row r="104" spans="1:15" ht="15.6" x14ac:dyDescent="0.3">
      <c r="A104" s="6">
        <v>1186</v>
      </c>
      <c r="B104" s="1" t="str">
        <f>IFERROR(VLOOKUP(A104,'[1]Master File'!$A$2:$C$312,3,0)," ")</f>
        <v>Israr Ahmed Bashir Ahmed</v>
      </c>
      <c r="C104" s="2" t="s">
        <v>15</v>
      </c>
      <c r="D104" s="5">
        <v>45809</v>
      </c>
      <c r="E104" s="61">
        <v>45870</v>
      </c>
      <c r="F104" s="1">
        <f t="shared" si="12"/>
        <v>62</v>
      </c>
      <c r="G104" s="9">
        <v>45872</v>
      </c>
      <c r="I104" s="10" t="str">
        <f t="shared" ca="1" si="13"/>
        <v>Rejoined</v>
      </c>
      <c r="N104" s="10" t="str">
        <f t="shared" ca="1" si="14"/>
        <v/>
      </c>
      <c r="O104" s="11">
        <f t="shared" si="15"/>
        <v>2</v>
      </c>
    </row>
    <row r="105" spans="1:15" ht="15.6" x14ac:dyDescent="0.3">
      <c r="A105" s="6">
        <v>603</v>
      </c>
      <c r="B105" s="1" t="str">
        <f>IFERROR(VLOOKUP(A105,'[1]Master File'!$A$2:$C$312,3,0)," ")</f>
        <v>Mafijur Matubber Shajahan Fakir</v>
      </c>
      <c r="C105" s="2" t="s">
        <v>15</v>
      </c>
      <c r="D105" s="5">
        <v>45809</v>
      </c>
      <c r="E105" s="61">
        <v>45874</v>
      </c>
      <c r="F105" s="1">
        <f t="shared" si="12"/>
        <v>66</v>
      </c>
      <c r="G105" s="9">
        <v>45875</v>
      </c>
      <c r="I105" s="10" t="str">
        <f t="shared" ca="1" si="13"/>
        <v>Rejoined</v>
      </c>
      <c r="N105" s="10" t="str">
        <f t="shared" ca="1" si="14"/>
        <v/>
      </c>
      <c r="O105" s="11" t="str">
        <f t="shared" si="15"/>
        <v/>
      </c>
    </row>
    <row r="106" spans="1:15" ht="15.6" x14ac:dyDescent="0.3">
      <c r="A106" s="6">
        <v>2628</v>
      </c>
      <c r="B106" s="1" t="str">
        <f>IFERROR(VLOOKUP(A106,'[1]Master File'!$A$2:$C$312,3,0)," ")</f>
        <v>Sona Kizhakudan Prince</v>
      </c>
      <c r="C106" s="3" t="s">
        <v>20</v>
      </c>
      <c r="D106" s="5">
        <v>45810</v>
      </c>
      <c r="E106" s="61">
        <v>45869</v>
      </c>
      <c r="F106" s="1">
        <f t="shared" si="12"/>
        <v>60</v>
      </c>
      <c r="G106" s="9">
        <v>45870</v>
      </c>
      <c r="I106" s="10" t="str">
        <f t="shared" ca="1" si="13"/>
        <v>Rejoined</v>
      </c>
      <c r="N106" s="10" t="str">
        <f t="shared" ca="1" si="14"/>
        <v/>
      </c>
      <c r="O106" s="11" t="str">
        <f t="shared" si="15"/>
        <v/>
      </c>
    </row>
    <row r="107" spans="1:15" ht="15.6" x14ac:dyDescent="0.3">
      <c r="A107" s="6">
        <v>1608</v>
      </c>
      <c r="B107" s="1" t="str">
        <f>IFERROR(VLOOKUP(A107,'[1]Master File'!$A$2:$C$312,3,0)," ")</f>
        <v>Fayaz Ali Mohammed</v>
      </c>
      <c r="C107" s="2" t="s">
        <v>15</v>
      </c>
      <c r="D107" s="5">
        <v>45817</v>
      </c>
      <c r="E107" s="61">
        <v>45821</v>
      </c>
      <c r="F107" s="1">
        <f t="shared" si="12"/>
        <v>5</v>
      </c>
      <c r="G107" s="9">
        <v>45822</v>
      </c>
      <c r="I107" s="10" t="str">
        <f t="shared" ca="1" si="13"/>
        <v>Rejoined</v>
      </c>
      <c r="N107" s="10" t="str">
        <f t="shared" ca="1" si="14"/>
        <v/>
      </c>
      <c r="O107" s="11" t="str">
        <f t="shared" si="15"/>
        <v/>
      </c>
    </row>
    <row r="108" spans="1:15" ht="15.6" x14ac:dyDescent="0.3">
      <c r="A108" s="6">
        <v>266</v>
      </c>
      <c r="B108" s="1" t="str">
        <f>IFERROR(VLOOKUP(A108,'[1]Master File'!$A$2:$C$312,3,0)," ")</f>
        <v>Shareef Asadullah Muhammad</v>
      </c>
      <c r="C108" s="2" t="s">
        <v>15</v>
      </c>
      <c r="D108" s="5">
        <v>45817</v>
      </c>
      <c r="E108" s="61">
        <v>45831</v>
      </c>
      <c r="F108" s="1">
        <f t="shared" si="12"/>
        <v>15</v>
      </c>
      <c r="G108" s="9">
        <v>45834</v>
      </c>
      <c r="I108" s="10" t="str">
        <f t="shared" ca="1" si="13"/>
        <v>Rejoined</v>
      </c>
      <c r="N108" s="10" t="str">
        <f t="shared" ca="1" si="14"/>
        <v/>
      </c>
      <c r="O108" s="11">
        <f t="shared" si="15"/>
        <v>3</v>
      </c>
    </row>
    <row r="109" spans="1:15" ht="15.6" x14ac:dyDescent="0.3">
      <c r="A109" s="6">
        <v>68</v>
      </c>
      <c r="B109" s="1" t="str">
        <f>IFERROR(VLOOKUP(A109,'[1]Master File'!$A$2:$C$312,3,0)," ")</f>
        <v>Esrafil Patu Ali</v>
      </c>
      <c r="C109" s="2" t="s">
        <v>15</v>
      </c>
      <c r="D109" s="5">
        <v>45817</v>
      </c>
      <c r="E109" s="61">
        <v>45846</v>
      </c>
      <c r="F109" s="1">
        <f t="shared" si="12"/>
        <v>30</v>
      </c>
      <c r="G109" s="9">
        <v>45847</v>
      </c>
      <c r="I109" s="10" t="str">
        <f t="shared" ca="1" si="13"/>
        <v>Rejoined</v>
      </c>
      <c r="N109" s="10" t="str">
        <f t="shared" ca="1" si="14"/>
        <v/>
      </c>
      <c r="O109" s="11" t="str">
        <f t="shared" si="15"/>
        <v/>
      </c>
    </row>
    <row r="110" spans="1:15" ht="15.6" x14ac:dyDescent="0.3">
      <c r="A110" s="6">
        <v>802</v>
      </c>
      <c r="B110" s="1" t="str">
        <f>IFERROR(VLOOKUP(A110,'[1]Master File'!$A$2:$C$312,3,0)," ")</f>
        <v>Muhammad Pervez Muhammad Idrees</v>
      </c>
      <c r="C110" s="2" t="s">
        <v>15</v>
      </c>
      <c r="D110" s="5">
        <v>45817</v>
      </c>
      <c r="E110" s="61">
        <v>45876</v>
      </c>
      <c r="F110" s="1">
        <f t="shared" si="12"/>
        <v>60</v>
      </c>
      <c r="G110" s="9">
        <v>45883</v>
      </c>
      <c r="I110" s="10" t="str">
        <f t="shared" ca="1" si="13"/>
        <v>Rejoined</v>
      </c>
      <c r="N110" s="10" t="str">
        <f t="shared" ca="1" si="14"/>
        <v/>
      </c>
      <c r="O110" s="11">
        <f t="shared" si="15"/>
        <v>7</v>
      </c>
    </row>
    <row r="111" spans="1:15" ht="15.6" x14ac:dyDescent="0.3">
      <c r="A111" s="6">
        <v>2491</v>
      </c>
      <c r="B111" s="1" t="str">
        <f>IFERROR(VLOOKUP(A111,'[1]Master File'!$A$2:$C$312,3,0)," ")</f>
        <v>Sahib Zada Sher Afzal Khan</v>
      </c>
      <c r="C111" s="2" t="s">
        <v>15</v>
      </c>
      <c r="D111" s="5">
        <v>45817</v>
      </c>
      <c r="E111" s="61">
        <v>45859</v>
      </c>
      <c r="F111" s="1">
        <f t="shared" si="12"/>
        <v>43</v>
      </c>
      <c r="G111" s="9">
        <v>45882</v>
      </c>
      <c r="I111" s="10" t="str">
        <f t="shared" ca="1" si="13"/>
        <v>Rejoined</v>
      </c>
      <c r="N111" s="10" t="str">
        <f t="shared" ca="1" si="14"/>
        <v/>
      </c>
      <c r="O111" s="11">
        <f t="shared" si="15"/>
        <v>23</v>
      </c>
    </row>
    <row r="112" spans="1:15" ht="15.6" x14ac:dyDescent="0.3">
      <c r="A112" s="6">
        <v>2632</v>
      </c>
      <c r="B112" s="1" t="str">
        <f>IFERROR(VLOOKUP(A112,'[1]Master File'!$A$2:$C$312,3,0)," ")</f>
        <v>Ratheesh Pv</v>
      </c>
      <c r="C112" s="2" t="s">
        <v>23</v>
      </c>
      <c r="D112" s="5">
        <v>45818</v>
      </c>
      <c r="E112" s="61">
        <v>45821</v>
      </c>
      <c r="F112" s="1">
        <f t="shared" si="12"/>
        <v>4</v>
      </c>
      <c r="G112" s="9">
        <v>45822</v>
      </c>
      <c r="I112" s="10" t="str">
        <f t="shared" ca="1" si="13"/>
        <v>Rejoined</v>
      </c>
      <c r="N112" s="10" t="str">
        <f t="shared" ca="1" si="14"/>
        <v/>
      </c>
      <c r="O112" s="11" t="str">
        <f t="shared" si="15"/>
        <v/>
      </c>
    </row>
    <row r="113" spans="1:16" ht="15.6" x14ac:dyDescent="0.3">
      <c r="A113" s="6">
        <v>14</v>
      </c>
      <c r="B113" s="1" t="str">
        <f>IFERROR(VLOOKUP(A113,'[1]Master File'!$A$2:$C$312,3,0)," ")</f>
        <v>Afroz Ali Khan Khan</v>
      </c>
      <c r="C113" s="2" t="s">
        <v>15</v>
      </c>
      <c r="D113" s="5">
        <v>45819</v>
      </c>
      <c r="E113" s="61">
        <v>45823</v>
      </c>
      <c r="F113" s="1">
        <f t="shared" si="12"/>
        <v>5</v>
      </c>
      <c r="G113" s="9">
        <v>45824</v>
      </c>
      <c r="I113" s="10" t="str">
        <f t="shared" ca="1" si="13"/>
        <v>Rejoined</v>
      </c>
      <c r="N113" s="10" t="str">
        <f t="shared" ca="1" si="14"/>
        <v/>
      </c>
      <c r="O113" s="11" t="str">
        <f t="shared" si="15"/>
        <v/>
      </c>
    </row>
    <row r="114" spans="1:16" ht="15.6" x14ac:dyDescent="0.3">
      <c r="A114" s="6">
        <v>2575</v>
      </c>
      <c r="B114" s="1" t="str">
        <f>IFERROR(VLOOKUP(A114,'[1]Master File'!$A$2:$C$312,3,0)," ")</f>
        <v>Ahmed Abdul Latheef Nijar</v>
      </c>
      <c r="C114" s="2" t="s">
        <v>15</v>
      </c>
      <c r="D114" s="5">
        <v>45819</v>
      </c>
      <c r="E114" s="61">
        <v>45837</v>
      </c>
      <c r="F114" s="1">
        <f t="shared" si="12"/>
        <v>19</v>
      </c>
      <c r="G114" s="9">
        <v>45838</v>
      </c>
      <c r="I114" s="10" t="str">
        <f t="shared" ca="1" si="13"/>
        <v>Rejoined</v>
      </c>
      <c r="N114" s="10" t="str">
        <f t="shared" ca="1" si="14"/>
        <v/>
      </c>
      <c r="O114" s="11" t="str">
        <f t="shared" si="15"/>
        <v/>
      </c>
      <c r="P114" t="s">
        <v>606</v>
      </c>
    </row>
    <row r="115" spans="1:16" ht="15.6" x14ac:dyDescent="0.3">
      <c r="A115" s="6">
        <v>379</v>
      </c>
      <c r="B115" s="1" t="str">
        <f>IFERROR(VLOOKUP(A115,'[1]Master File'!$A$2:$C$312,3,0)," ")</f>
        <v>Mirza Shafiullah Baig</v>
      </c>
      <c r="C115" s="2" t="s">
        <v>15</v>
      </c>
      <c r="D115" s="5">
        <v>45819</v>
      </c>
      <c r="E115" s="61">
        <v>45848</v>
      </c>
      <c r="F115" s="1">
        <f t="shared" si="12"/>
        <v>30</v>
      </c>
      <c r="G115" s="9">
        <v>45849</v>
      </c>
      <c r="I115" s="10" t="str">
        <f t="shared" ca="1" si="13"/>
        <v>Rejoined</v>
      </c>
      <c r="N115" s="10" t="str">
        <f t="shared" ca="1" si="14"/>
        <v/>
      </c>
      <c r="O115" s="11" t="str">
        <f t="shared" si="15"/>
        <v/>
      </c>
    </row>
    <row r="116" spans="1:16" ht="15.6" x14ac:dyDescent="0.3">
      <c r="A116" s="6">
        <v>2228</v>
      </c>
      <c r="B116" s="1" t="str">
        <f>IFERROR(VLOOKUP(A116,'[1]Master File'!$A$2:$C$312,3,0)," ")</f>
        <v xml:space="preserve">Mohammad Jawed </v>
      </c>
      <c r="C116" s="2" t="s">
        <v>14</v>
      </c>
      <c r="D116" s="5">
        <v>45823</v>
      </c>
      <c r="E116" s="61">
        <v>45838</v>
      </c>
      <c r="F116" s="1">
        <f t="shared" si="12"/>
        <v>16</v>
      </c>
      <c r="G116" s="9">
        <v>45848</v>
      </c>
      <c r="I116" s="10" t="str">
        <f t="shared" ca="1" si="13"/>
        <v>Rejoined</v>
      </c>
      <c r="N116" s="10" t="str">
        <f t="shared" ca="1" si="14"/>
        <v/>
      </c>
      <c r="O116" s="11">
        <f t="shared" si="15"/>
        <v>10</v>
      </c>
    </row>
    <row r="117" spans="1:16" ht="15.6" x14ac:dyDescent="0.3">
      <c r="A117" s="6">
        <v>2502</v>
      </c>
      <c r="B117" s="1" t="str">
        <f>IFERROR(VLOOKUP(A117,'[1]Master File'!$A$2:$C$312,3,0)," ")</f>
        <v>Sahadat Sheikh</v>
      </c>
      <c r="C117" s="2" t="s">
        <v>15</v>
      </c>
      <c r="D117" s="5">
        <v>45824</v>
      </c>
      <c r="E117" s="61">
        <v>45893</v>
      </c>
      <c r="F117" s="1">
        <f t="shared" si="12"/>
        <v>70</v>
      </c>
      <c r="G117" s="9">
        <v>45897</v>
      </c>
      <c r="I117" s="10" t="str">
        <f t="shared" ca="1" si="13"/>
        <v>Rejoined</v>
      </c>
      <c r="N117" s="10" t="str">
        <f t="shared" ca="1" si="14"/>
        <v/>
      </c>
      <c r="O117" s="11">
        <f t="shared" si="15"/>
        <v>4</v>
      </c>
    </row>
    <row r="118" spans="1:16" ht="15.6" x14ac:dyDescent="0.3">
      <c r="A118" s="6">
        <v>2638</v>
      </c>
      <c r="B118" s="1" t="str">
        <f>IFERROR(VLOOKUP(A118,'[1]Master File'!$A$2:$C$312,3,0)," ")</f>
        <v>Muhammad Saad Tanveer</v>
      </c>
      <c r="C118" s="2" t="s">
        <v>15</v>
      </c>
      <c r="D118" s="5">
        <v>45831</v>
      </c>
      <c r="E118" s="61">
        <v>45835</v>
      </c>
      <c r="F118" s="1">
        <f t="shared" si="12"/>
        <v>5</v>
      </c>
      <c r="G118" s="9">
        <v>45835</v>
      </c>
      <c r="I118" s="10" t="str">
        <f t="shared" ca="1" si="13"/>
        <v>Rejoined</v>
      </c>
      <c r="N118" s="10" t="str">
        <f t="shared" ca="1" si="14"/>
        <v/>
      </c>
      <c r="O118" s="11" t="str">
        <f t="shared" si="15"/>
        <v/>
      </c>
    </row>
    <row r="119" spans="1:16" ht="15.6" x14ac:dyDescent="0.3">
      <c r="A119" s="6">
        <v>459</v>
      </c>
      <c r="B119" s="1" t="str">
        <f>IFERROR(VLOOKUP(A119,'[1]Master File'!$A$2:$C$312,3,0)," ")</f>
        <v>Zahangir Alom Abdul Gony</v>
      </c>
      <c r="C119" s="2" t="s">
        <v>15</v>
      </c>
      <c r="D119" s="5">
        <v>45831</v>
      </c>
      <c r="E119" s="61">
        <v>45892</v>
      </c>
      <c r="F119" s="1">
        <f t="shared" si="12"/>
        <v>62</v>
      </c>
      <c r="G119" s="9">
        <v>45946</v>
      </c>
      <c r="I119" s="10" t="str">
        <f t="shared" ca="1" si="13"/>
        <v>Rejoined</v>
      </c>
      <c r="N119" s="10" t="str">
        <f t="shared" ca="1" si="14"/>
        <v/>
      </c>
      <c r="O119" s="11">
        <f t="shared" si="15"/>
        <v>54</v>
      </c>
    </row>
    <row r="120" spans="1:16" ht="15.6" x14ac:dyDescent="0.3">
      <c r="A120" s="6">
        <v>1654</v>
      </c>
      <c r="B120" s="1" t="str">
        <f>IFERROR(VLOOKUP(A120,'[1]Master File'!$A$2:$C$312,3,0)," ")</f>
        <v>Nehal Ahamad Najirullah</v>
      </c>
      <c r="C120" s="2" t="s">
        <v>15</v>
      </c>
      <c r="D120" s="5">
        <v>45836</v>
      </c>
      <c r="E120" s="61">
        <v>45865</v>
      </c>
      <c r="F120" s="1">
        <f t="shared" si="12"/>
        <v>30</v>
      </c>
      <c r="G120" s="9">
        <v>45875</v>
      </c>
      <c r="I120" s="10" t="str">
        <f t="shared" ca="1" si="13"/>
        <v>Rejoined</v>
      </c>
      <c r="N120" s="10" t="str">
        <f t="shared" ca="1" si="14"/>
        <v/>
      </c>
      <c r="O120" s="11">
        <f t="shared" si="15"/>
        <v>10</v>
      </c>
    </row>
    <row r="121" spans="1:16" ht="15.6" x14ac:dyDescent="0.3">
      <c r="A121" s="6">
        <v>600</v>
      </c>
      <c r="B121" s="1" t="str">
        <f>IFERROR(VLOOKUP(A121,'[1]Master File'!$A$2:$C$312,3,0)," ")</f>
        <v>Monir Hossain Nurul Islam Patoari</v>
      </c>
      <c r="C121" s="2" t="s">
        <v>15</v>
      </c>
      <c r="D121" s="5">
        <v>45839</v>
      </c>
      <c r="E121" s="61">
        <v>45898</v>
      </c>
      <c r="F121" s="1">
        <f t="shared" si="12"/>
        <v>60</v>
      </c>
      <c r="G121" s="9">
        <v>45902</v>
      </c>
      <c r="I121" s="10" t="str">
        <f t="shared" ca="1" si="13"/>
        <v>Rejoined</v>
      </c>
      <c r="N121" s="10" t="str">
        <f t="shared" ca="1" si="14"/>
        <v/>
      </c>
      <c r="O121" s="11">
        <f t="shared" si="15"/>
        <v>4</v>
      </c>
    </row>
    <row r="122" spans="1:16" ht="15.6" x14ac:dyDescent="0.3">
      <c r="A122" s="6">
        <v>235</v>
      </c>
      <c r="B122" s="1" t="str">
        <f>IFERROR(VLOOKUP(A122,'[1]Master File'!$A$2:$C$312,3,0)," ")</f>
        <v>Saiyed Anwar Hussain Rizvi</v>
      </c>
      <c r="C122" s="2" t="s">
        <v>15</v>
      </c>
      <c r="D122" s="5">
        <v>45845</v>
      </c>
      <c r="E122" s="61">
        <v>45863</v>
      </c>
      <c r="F122" s="1">
        <f t="shared" si="12"/>
        <v>19</v>
      </c>
      <c r="G122" s="9">
        <v>45864</v>
      </c>
      <c r="I122" s="10" t="str">
        <f t="shared" ca="1" si="13"/>
        <v>Rejoined</v>
      </c>
      <c r="N122" s="10" t="str">
        <f t="shared" ca="1" si="14"/>
        <v/>
      </c>
      <c r="O122" s="11" t="str">
        <f t="shared" si="15"/>
        <v/>
      </c>
    </row>
    <row r="123" spans="1:16" ht="15.6" x14ac:dyDescent="0.3">
      <c r="A123" s="6">
        <v>1608</v>
      </c>
      <c r="B123" s="1" t="str">
        <f>IFERROR(VLOOKUP(A123,'[1]Master File'!$A$2:$C$312,3,0)," ")</f>
        <v>Fayaz Ali Mohammed</v>
      </c>
      <c r="C123" s="2" t="s">
        <v>15</v>
      </c>
      <c r="D123" s="5">
        <v>45847</v>
      </c>
      <c r="E123" s="61">
        <v>45854</v>
      </c>
      <c r="F123" s="1">
        <f t="shared" si="12"/>
        <v>8</v>
      </c>
      <c r="G123" s="9">
        <v>45855</v>
      </c>
      <c r="I123" s="10" t="str">
        <f t="shared" ca="1" si="13"/>
        <v>Rejoined</v>
      </c>
      <c r="N123" s="10" t="str">
        <f t="shared" ca="1" si="14"/>
        <v/>
      </c>
      <c r="O123" s="11" t="str">
        <f t="shared" si="15"/>
        <v/>
      </c>
    </row>
    <row r="124" spans="1:16" ht="15.6" x14ac:dyDescent="0.3">
      <c r="A124" s="6">
        <v>2611</v>
      </c>
      <c r="B124" s="1" t="str">
        <f>IFERROR(VLOOKUP(A124,'[1]Master File'!$A$2:$C$312,3,0)," ")</f>
        <v>Sreejesh Kumar</v>
      </c>
      <c r="C124" s="2" t="s">
        <v>15</v>
      </c>
      <c r="D124" s="5">
        <v>45848</v>
      </c>
      <c r="E124" s="61">
        <v>45877</v>
      </c>
      <c r="F124" s="1">
        <f t="shared" si="12"/>
        <v>30</v>
      </c>
      <c r="G124" s="9">
        <v>45878</v>
      </c>
      <c r="I124" s="10" t="str">
        <f t="shared" ca="1" si="13"/>
        <v>Rejoined</v>
      </c>
      <c r="N124" s="10" t="str">
        <f t="shared" ca="1" si="14"/>
        <v/>
      </c>
      <c r="O124" s="11" t="str">
        <f t="shared" si="15"/>
        <v/>
      </c>
    </row>
    <row r="125" spans="1:16" ht="15.6" x14ac:dyDescent="0.3">
      <c r="A125" s="6">
        <v>2520</v>
      </c>
      <c r="B125" s="1" t="str">
        <f>IFERROR(VLOOKUP(A125,'[1]Master File'!$A$2:$C$312,3,0)," ")</f>
        <v>Salman Qureshi Mohammed</v>
      </c>
      <c r="C125" s="2" t="s">
        <v>15</v>
      </c>
      <c r="D125" s="5">
        <v>45850</v>
      </c>
      <c r="E125" s="61">
        <v>45880</v>
      </c>
      <c r="F125" s="1">
        <f t="shared" si="12"/>
        <v>31</v>
      </c>
      <c r="G125" s="9">
        <v>45881</v>
      </c>
      <c r="I125" s="10" t="str">
        <f t="shared" ca="1" si="13"/>
        <v>Rejoined</v>
      </c>
      <c r="N125" s="10" t="str">
        <f t="shared" ca="1" si="14"/>
        <v/>
      </c>
      <c r="O125" s="11" t="str">
        <f t="shared" si="15"/>
        <v/>
      </c>
    </row>
    <row r="126" spans="1:16" ht="15.6" x14ac:dyDescent="0.3">
      <c r="A126" s="6">
        <v>1219</v>
      </c>
      <c r="B126" s="1" t="str">
        <f>IFERROR(VLOOKUP(A126,'[1]Master File'!$A$2:$C$312,3,0)," ")</f>
        <v>Azam Qureshi Mohammed</v>
      </c>
      <c r="C126" s="2" t="s">
        <v>15</v>
      </c>
      <c r="D126" s="5">
        <v>45852</v>
      </c>
      <c r="E126" s="61">
        <v>45881</v>
      </c>
      <c r="F126" s="1">
        <f t="shared" si="12"/>
        <v>30</v>
      </c>
      <c r="G126" s="9">
        <v>45882</v>
      </c>
      <c r="I126" s="10" t="str">
        <f t="shared" ca="1" si="13"/>
        <v>Rejoined</v>
      </c>
      <c r="N126" s="10" t="str">
        <f t="shared" ca="1" si="14"/>
        <v/>
      </c>
      <c r="O126" s="11" t="str">
        <f t="shared" si="15"/>
        <v/>
      </c>
    </row>
    <row r="127" spans="1:16" ht="15.6" x14ac:dyDescent="0.3">
      <c r="A127" s="6">
        <v>2590</v>
      </c>
      <c r="B127" s="1" t="str">
        <f>IFERROR(VLOOKUP(A127,'[1]Master File'!$A$2:$C$312,3,0)," ")</f>
        <v>Priyanti Prabhat Tatke</v>
      </c>
      <c r="C127" s="2" t="s">
        <v>15</v>
      </c>
      <c r="D127" s="5">
        <v>45852</v>
      </c>
      <c r="E127" s="61">
        <v>45868</v>
      </c>
      <c r="F127" s="1">
        <f t="shared" si="12"/>
        <v>17</v>
      </c>
      <c r="G127" s="9">
        <v>45869</v>
      </c>
      <c r="I127" s="10" t="str">
        <f t="shared" ca="1" si="13"/>
        <v>Rejoined</v>
      </c>
      <c r="N127" s="10" t="str">
        <f t="shared" ca="1" si="14"/>
        <v/>
      </c>
      <c r="O127" s="11" t="str">
        <f t="shared" si="15"/>
        <v/>
      </c>
    </row>
    <row r="128" spans="1:16" ht="15.6" x14ac:dyDescent="0.3">
      <c r="A128" s="6">
        <v>2558</v>
      </c>
      <c r="B128" s="1" t="str">
        <f>IFERROR(VLOOKUP(A128,'[1]Master File'!$A$2:$C$312,3,0)," ")</f>
        <v xml:space="preserve">Sowrab Mia </v>
      </c>
      <c r="C128" s="2" t="s">
        <v>15</v>
      </c>
      <c r="D128" s="5">
        <v>45858</v>
      </c>
      <c r="E128" s="61">
        <v>45917</v>
      </c>
      <c r="F128" s="1">
        <f t="shared" ref="F128:F152" si="16">IF(OR(D128="",E128 =""), "", E128 - D128+ 1)</f>
        <v>60</v>
      </c>
      <c r="G128" s="9">
        <v>45923</v>
      </c>
      <c r="I128" s="10" t="str">
        <f t="shared" ref="I128:I152" ca="1" si="17">IF(AND(G128="", E128="", D128=""), "", IF(D128&gt;TODAY(), "Applied", IF(G128&lt;&gt;"", IF(G128&lt;E128, "Early Rejoin", "Rejoined"), IF(E128&gt;TODAY(), "On Leave", "Not Rejoined"))))</f>
        <v>Rejoined</v>
      </c>
      <c r="N128" s="10" t="str">
        <f t="shared" ref="N128:N152" ca="1" si="18">IF(AND(E128&lt;&gt;"", E128&gt;=TODAY(), E128&lt;=TODAY()+3), "Rejoin Follow Up", "")</f>
        <v/>
      </c>
      <c r="O128" s="11">
        <f t="shared" si="15"/>
        <v>6</v>
      </c>
    </row>
    <row r="129" spans="1:15" ht="15.6" x14ac:dyDescent="0.3">
      <c r="A129" s="6">
        <v>1617</v>
      </c>
      <c r="B129" s="1" t="str">
        <f>IFERROR(VLOOKUP(A129,'[1]Master File'!$A$2:$C$312,3,0)," ")</f>
        <v>Mohammed Mubeen Mahmood Ali</v>
      </c>
      <c r="C129" s="2" t="s">
        <v>15</v>
      </c>
      <c r="D129" s="5">
        <v>45859</v>
      </c>
      <c r="E129" s="61">
        <v>45876</v>
      </c>
      <c r="F129" s="1">
        <f t="shared" si="16"/>
        <v>18</v>
      </c>
      <c r="G129" s="9">
        <v>45877</v>
      </c>
      <c r="I129" s="10" t="str">
        <f t="shared" ca="1" si="17"/>
        <v>Rejoined</v>
      </c>
      <c r="N129" s="10" t="str">
        <f t="shared" ca="1" si="18"/>
        <v/>
      </c>
      <c r="O129" s="11" t="str">
        <f t="shared" si="15"/>
        <v/>
      </c>
    </row>
    <row r="130" spans="1:15" ht="15.6" x14ac:dyDescent="0.3">
      <c r="A130" s="6">
        <v>2535</v>
      </c>
      <c r="B130" s="1" t="str">
        <f>IFERROR(VLOOKUP(A130,'[1]Master File'!$A$2:$C$312,3,0)," ")</f>
        <v>Abul Hossain</v>
      </c>
      <c r="C130" s="2" t="s">
        <v>15</v>
      </c>
      <c r="D130" s="5">
        <v>45859</v>
      </c>
      <c r="E130" s="61">
        <v>45919</v>
      </c>
      <c r="F130" s="1">
        <f t="shared" si="16"/>
        <v>61</v>
      </c>
      <c r="G130" s="9">
        <v>45920</v>
      </c>
      <c r="I130" s="10" t="str">
        <f t="shared" ca="1" si="17"/>
        <v>Rejoined</v>
      </c>
      <c r="N130" s="10" t="str">
        <f t="shared" ca="1" si="18"/>
        <v/>
      </c>
      <c r="O130" s="11" t="str">
        <f t="shared" ref="O130:O153" si="19">IF(AND(G130&lt;&gt;"", G130 &gt; E130, (G130 - E130) &lt;&gt; 1), G130 - E130, "")</f>
        <v/>
      </c>
    </row>
    <row r="131" spans="1:15" ht="15.6" x14ac:dyDescent="0.3">
      <c r="A131" s="6">
        <v>2736</v>
      </c>
      <c r="B131" s="1" t="s">
        <v>502</v>
      </c>
      <c r="C131" s="2" t="s">
        <v>503</v>
      </c>
      <c r="D131" s="5">
        <v>45868</v>
      </c>
      <c r="E131" s="61">
        <v>45868</v>
      </c>
      <c r="F131" s="1">
        <f t="shared" si="16"/>
        <v>1</v>
      </c>
      <c r="G131" s="9">
        <v>45869</v>
      </c>
      <c r="H131" s="19"/>
      <c r="I131" s="10" t="str">
        <f t="shared" ca="1" si="17"/>
        <v>Rejoined</v>
      </c>
      <c r="J131" s="20"/>
      <c r="K131" s="20"/>
      <c r="L131" s="21"/>
      <c r="M131" s="21"/>
      <c r="N131" s="10" t="str">
        <f t="shared" ca="1" si="18"/>
        <v/>
      </c>
      <c r="O131" s="11" t="str">
        <f t="shared" si="19"/>
        <v/>
      </c>
    </row>
    <row r="132" spans="1:15" ht="15.6" x14ac:dyDescent="0.3">
      <c r="A132" s="6">
        <v>2628</v>
      </c>
      <c r="B132" s="1" t="str">
        <f>IFERROR(VLOOKUP(A132,'[1]Master File'!$A$2:$C$312,3,0)," ")</f>
        <v>Sona Kizhakudan Prince</v>
      </c>
      <c r="C132" s="2" t="s">
        <v>15</v>
      </c>
      <c r="D132" s="5">
        <v>45870</v>
      </c>
      <c r="E132" s="61">
        <v>45899</v>
      </c>
      <c r="F132" s="1">
        <f t="shared" si="16"/>
        <v>30</v>
      </c>
      <c r="G132" s="9">
        <v>45933</v>
      </c>
      <c r="I132" s="10" t="str">
        <f t="shared" ca="1" si="17"/>
        <v>Rejoined</v>
      </c>
      <c r="N132" s="10" t="str">
        <f t="shared" ca="1" si="18"/>
        <v/>
      </c>
      <c r="O132" s="11">
        <f t="shared" si="19"/>
        <v>34</v>
      </c>
    </row>
    <row r="133" spans="1:15" ht="15.6" x14ac:dyDescent="0.3">
      <c r="A133" s="6">
        <v>142</v>
      </c>
      <c r="B133" s="1" t="str">
        <f>IFERROR(VLOOKUP(A133,'[1]Master File'!$A$2:$C$312,3,0)," ")</f>
        <v>Mary Jaya Francis</v>
      </c>
      <c r="C133" s="2" t="s">
        <v>15</v>
      </c>
      <c r="D133" s="5">
        <v>45873</v>
      </c>
      <c r="E133" s="61">
        <v>45887</v>
      </c>
      <c r="F133" s="1">
        <f t="shared" si="16"/>
        <v>15</v>
      </c>
      <c r="G133" s="9">
        <v>45888</v>
      </c>
      <c r="I133" s="10" t="str">
        <f t="shared" ca="1" si="17"/>
        <v>Rejoined</v>
      </c>
      <c r="N133" s="10" t="str">
        <f t="shared" ca="1" si="18"/>
        <v/>
      </c>
      <c r="O133" s="11" t="str">
        <f t="shared" si="19"/>
        <v/>
      </c>
    </row>
    <row r="134" spans="1:15" ht="15.6" x14ac:dyDescent="0.3">
      <c r="A134" s="6">
        <v>2534</v>
      </c>
      <c r="B134" s="1" t="str">
        <f>IFERROR(VLOOKUP(A134,'[1]Master File'!$A$2:$C$312,3,0)," ")</f>
        <v>Alomgir Md Huqum Ali</v>
      </c>
      <c r="C134" s="2" t="s">
        <v>19</v>
      </c>
      <c r="D134" s="5">
        <v>45874</v>
      </c>
      <c r="E134" s="61">
        <v>45889</v>
      </c>
      <c r="F134" s="1">
        <f t="shared" si="16"/>
        <v>16</v>
      </c>
      <c r="G134" s="9">
        <v>45938</v>
      </c>
      <c r="I134" s="10" t="str">
        <f t="shared" ca="1" si="17"/>
        <v>Rejoined</v>
      </c>
      <c r="N134" s="10" t="str">
        <f t="shared" ca="1" si="18"/>
        <v/>
      </c>
      <c r="O134" s="11">
        <f t="shared" si="19"/>
        <v>49</v>
      </c>
    </row>
    <row r="135" spans="1:15" ht="15.6" x14ac:dyDescent="0.3">
      <c r="A135" s="6">
        <v>102</v>
      </c>
      <c r="B135" s="1" t="str">
        <f>IFERROR(VLOOKUP(A135,'[1]Master File'!$A$2:$C$312,3,0)," ")</f>
        <v>Jayesh Krishnan Gopalakrishnan</v>
      </c>
      <c r="C135" s="2" t="s">
        <v>15</v>
      </c>
      <c r="D135" s="5">
        <v>45880</v>
      </c>
      <c r="E135" s="61">
        <v>45908</v>
      </c>
      <c r="F135" s="1">
        <f t="shared" si="16"/>
        <v>29</v>
      </c>
      <c r="G135" s="9">
        <v>45909</v>
      </c>
      <c r="I135" s="10" t="str">
        <f t="shared" ca="1" si="17"/>
        <v>Rejoined</v>
      </c>
      <c r="N135" s="10" t="str">
        <f t="shared" ca="1" si="18"/>
        <v/>
      </c>
      <c r="O135" s="11" t="str">
        <f t="shared" si="19"/>
        <v/>
      </c>
    </row>
    <row r="136" spans="1:15" ht="15.6" x14ac:dyDescent="0.3">
      <c r="A136" s="6">
        <v>2565</v>
      </c>
      <c r="B136" s="1" t="str">
        <f>IFERROR(VLOOKUP(A136,'[1]Master File'!$A$2:$C$312,3,0)," ")</f>
        <v>Rajkumar Ganesan</v>
      </c>
      <c r="C136" s="2" t="s">
        <v>15</v>
      </c>
      <c r="D136" s="5">
        <v>45880</v>
      </c>
      <c r="E136" s="61">
        <v>45901</v>
      </c>
      <c r="F136" s="1">
        <f t="shared" si="16"/>
        <v>22</v>
      </c>
      <c r="G136" s="9">
        <v>45902</v>
      </c>
      <c r="I136" s="10" t="str">
        <f t="shared" ca="1" si="17"/>
        <v>Rejoined</v>
      </c>
      <c r="N136" s="10" t="str">
        <f t="shared" ca="1" si="18"/>
        <v/>
      </c>
      <c r="O136" s="11" t="str">
        <f t="shared" si="19"/>
        <v/>
      </c>
    </row>
    <row r="137" spans="1:15" ht="15.6" x14ac:dyDescent="0.3">
      <c r="A137" s="2">
        <v>2682</v>
      </c>
      <c r="B137" s="1" t="str">
        <f>IFERROR(VLOOKUP(A137,'[1]Master File'!$A$2:$C$312,3,0)," ")</f>
        <v>Yasa Rakesh</v>
      </c>
      <c r="C137" s="2" t="s">
        <v>15</v>
      </c>
      <c r="D137" s="5">
        <v>45880</v>
      </c>
      <c r="E137" s="61">
        <v>45909</v>
      </c>
      <c r="F137" s="1">
        <f t="shared" si="16"/>
        <v>30</v>
      </c>
      <c r="G137" s="9">
        <v>45912</v>
      </c>
      <c r="I137" s="10" t="str">
        <f t="shared" ca="1" si="17"/>
        <v>Rejoined</v>
      </c>
      <c r="N137" s="10" t="str">
        <f t="shared" ca="1" si="18"/>
        <v/>
      </c>
      <c r="O137" s="11">
        <f t="shared" si="19"/>
        <v>3</v>
      </c>
    </row>
    <row r="138" spans="1:15" ht="15.6" x14ac:dyDescent="0.3">
      <c r="A138" s="2">
        <v>2499</v>
      </c>
      <c r="B138" s="1" t="str">
        <f>IFERROR(VLOOKUP(A138,'[1]Master File'!$A$2:$C$312,3,0)," ")</f>
        <v>Mohammed Ramjan Ali</v>
      </c>
      <c r="C138" s="2" t="s">
        <v>15</v>
      </c>
      <c r="D138" s="5">
        <v>45881</v>
      </c>
      <c r="E138" s="61">
        <v>45895</v>
      </c>
      <c r="F138" s="1">
        <f t="shared" si="16"/>
        <v>15</v>
      </c>
      <c r="G138" s="9">
        <v>45896</v>
      </c>
      <c r="I138" s="10" t="str">
        <f t="shared" ca="1" si="17"/>
        <v>Rejoined</v>
      </c>
      <c r="N138" s="10" t="str">
        <f t="shared" ca="1" si="18"/>
        <v/>
      </c>
      <c r="O138" s="11" t="str">
        <f t="shared" si="19"/>
        <v/>
      </c>
    </row>
    <row r="139" spans="1:15" ht="15.6" x14ac:dyDescent="0.3">
      <c r="A139" s="2">
        <v>1884</v>
      </c>
      <c r="B139" s="1" t="str">
        <f>IFERROR(VLOOKUP(A139,'[1]Master File'!$A$2:$C$312,3,0)," ")</f>
        <v>Akhin Varghese</v>
      </c>
      <c r="C139" s="2" t="s">
        <v>15</v>
      </c>
      <c r="D139" s="5">
        <v>45887</v>
      </c>
      <c r="E139" s="61">
        <v>45894</v>
      </c>
      <c r="F139" s="1">
        <f t="shared" si="16"/>
        <v>8</v>
      </c>
      <c r="G139" s="9">
        <v>45895</v>
      </c>
      <c r="I139" s="10" t="str">
        <f t="shared" ca="1" si="17"/>
        <v>Rejoined</v>
      </c>
      <c r="N139" s="10" t="str">
        <f t="shared" ca="1" si="18"/>
        <v/>
      </c>
      <c r="O139" s="11" t="str">
        <f t="shared" si="19"/>
        <v/>
      </c>
    </row>
    <row r="140" spans="1:15" ht="15.6" x14ac:dyDescent="0.3">
      <c r="A140" s="2">
        <v>2406</v>
      </c>
      <c r="B140" s="1" t="str">
        <f>IFERROR(VLOOKUP(A140,'[1]Master File'!$A$2:$C$312,3,0)," ")</f>
        <v>Alben Johnson</v>
      </c>
      <c r="C140" s="2" t="s">
        <v>15</v>
      </c>
      <c r="D140" s="5">
        <v>45890</v>
      </c>
      <c r="E140" s="61">
        <v>45915</v>
      </c>
      <c r="F140" s="1">
        <f t="shared" si="16"/>
        <v>26</v>
      </c>
      <c r="G140" s="9">
        <v>45916</v>
      </c>
      <c r="I140" s="10" t="str">
        <f t="shared" ca="1" si="17"/>
        <v>Rejoined</v>
      </c>
      <c r="N140" s="10" t="str">
        <f t="shared" ca="1" si="18"/>
        <v/>
      </c>
      <c r="O140" s="11" t="str">
        <f t="shared" si="19"/>
        <v/>
      </c>
    </row>
    <row r="141" spans="1:15" ht="15.6" x14ac:dyDescent="0.3">
      <c r="A141" s="2">
        <v>93</v>
      </c>
      <c r="B141" s="1" t="str">
        <f>IFERROR(VLOOKUP(A141,'[1]Master File'!$A$2:$C$312,3,0)," ")</f>
        <v>Esmaeil Hassan Rahideh</v>
      </c>
      <c r="C141" s="2" t="s">
        <v>608</v>
      </c>
      <c r="D141" s="5">
        <v>45859</v>
      </c>
      <c r="E141" s="61">
        <v>45860</v>
      </c>
      <c r="F141" s="1">
        <f>IF(OR(D141="",E141 =""), "", E141 - D141+ 1)</f>
        <v>2</v>
      </c>
      <c r="G141" s="9">
        <v>45861</v>
      </c>
      <c r="I141" s="10" t="str">
        <f ca="1">IF(AND(G141="", E141="", D141=""), "", IF(D141&gt;TODAY(), "Applied", IF(G141&lt;&gt;"", IF(G141&lt;E141, "Early Rejoin", "Rejoined"), IF(E141&gt;TODAY(), "On Leave", "Not Rejoined"))))</f>
        <v>Rejoined</v>
      </c>
      <c r="N141" s="10" t="str">
        <f ca="1">IF(AND(E141&lt;&gt;"", E141&gt;=TODAY(), E141&lt;=TODAY()+3), "Rejoin Follow Up", "")</f>
        <v/>
      </c>
      <c r="O141" s="11" t="str">
        <f>IF(AND(G141&lt;&gt;"", G141 &gt; E141, (G141 - E141) &lt;&gt; 1), G141 - E141, "")</f>
        <v/>
      </c>
    </row>
    <row r="142" spans="1:15" ht="15.6" x14ac:dyDescent="0.3">
      <c r="A142" s="2">
        <v>951</v>
      </c>
      <c r="B142" s="1" t="str">
        <f>IFERROR(VLOOKUP(A142,'[1]Master File'!$A$2:$C$312,3,0)," ")</f>
        <v>Biju Sasidharan Susheela</v>
      </c>
      <c r="C142" s="2" t="s">
        <v>15</v>
      </c>
      <c r="D142" s="5">
        <v>45892</v>
      </c>
      <c r="E142" s="61">
        <v>45951</v>
      </c>
      <c r="F142" s="1">
        <f t="shared" si="16"/>
        <v>60</v>
      </c>
      <c r="G142" s="9">
        <v>45958</v>
      </c>
      <c r="I142" s="10" t="str">
        <f t="shared" ca="1" si="17"/>
        <v>Rejoined</v>
      </c>
      <c r="N142" s="10" t="str">
        <f t="shared" ca="1" si="18"/>
        <v/>
      </c>
      <c r="O142" s="11">
        <f t="shared" si="19"/>
        <v>7</v>
      </c>
    </row>
    <row r="143" spans="1:15" ht="15.6" x14ac:dyDescent="0.3">
      <c r="A143" s="2">
        <v>1539</v>
      </c>
      <c r="B143" s="1" t="str">
        <f>IFERROR(VLOOKUP(A143,'[1]Master File'!$A$2:$C$312,3,0)," ")</f>
        <v>Salahudheen Karikuzhiyan Variyath</v>
      </c>
      <c r="C143" s="2" t="s">
        <v>15</v>
      </c>
      <c r="D143" s="5">
        <v>45894</v>
      </c>
      <c r="E143" s="61">
        <v>45924</v>
      </c>
      <c r="F143" s="1">
        <f t="shared" si="16"/>
        <v>31</v>
      </c>
      <c r="G143" s="9">
        <v>45929</v>
      </c>
      <c r="I143" s="10" t="str">
        <f t="shared" ca="1" si="17"/>
        <v>Rejoined</v>
      </c>
      <c r="N143" s="10" t="str">
        <f t="shared" ca="1" si="18"/>
        <v/>
      </c>
      <c r="O143" s="11">
        <f t="shared" si="19"/>
        <v>5</v>
      </c>
    </row>
    <row r="144" spans="1:15" ht="15.6" x14ac:dyDescent="0.3">
      <c r="A144" s="2">
        <v>835</v>
      </c>
      <c r="B144" s="1" t="str">
        <f>IFERROR(VLOOKUP(A144,'[1]Master File'!$A$2:$C$312,3,0)," ")</f>
        <v>Asim Abbas Sadiq Ali</v>
      </c>
      <c r="C144" s="2" t="s">
        <v>15</v>
      </c>
      <c r="D144" s="5">
        <v>45896</v>
      </c>
      <c r="E144" s="61">
        <v>45910</v>
      </c>
      <c r="F144" s="1">
        <f t="shared" si="16"/>
        <v>15</v>
      </c>
      <c r="G144" s="9">
        <v>45911</v>
      </c>
      <c r="I144" s="10" t="str">
        <f t="shared" ca="1" si="17"/>
        <v>Rejoined</v>
      </c>
      <c r="N144" s="10" t="str">
        <f t="shared" ca="1" si="18"/>
        <v/>
      </c>
      <c r="O144" s="11" t="str">
        <f t="shared" si="19"/>
        <v/>
      </c>
    </row>
    <row r="145" spans="1:15" ht="15.6" x14ac:dyDescent="0.3">
      <c r="A145" s="2">
        <v>1417</v>
      </c>
      <c r="B145" s="1" t="str">
        <f>IFERROR(VLOOKUP(A145,'[1]Master File'!$A$2:$C$312,3,0)," ")</f>
        <v>Nawab Afaque Mohammed Khan</v>
      </c>
      <c r="C145" s="2" t="s">
        <v>15</v>
      </c>
      <c r="D145" s="5">
        <v>45901</v>
      </c>
      <c r="E145" s="61">
        <v>45930</v>
      </c>
      <c r="F145" s="1">
        <f t="shared" si="16"/>
        <v>30</v>
      </c>
      <c r="G145" s="9">
        <v>45931</v>
      </c>
      <c r="I145" s="10" t="str">
        <f t="shared" ca="1" si="17"/>
        <v>Rejoined</v>
      </c>
      <c r="N145" s="10" t="str">
        <f t="shared" ca="1" si="18"/>
        <v/>
      </c>
      <c r="O145" s="11" t="str">
        <f t="shared" si="19"/>
        <v/>
      </c>
    </row>
    <row r="146" spans="1:15" ht="15.6" x14ac:dyDescent="0.3">
      <c r="A146" s="2">
        <v>979</v>
      </c>
      <c r="B146" s="1" t="str">
        <f>IFERROR(VLOOKUP(A146,'[1]Master File'!$A$2:$C$312,3,0)," ")</f>
        <v>Gopakumar Gopinathan Pillai</v>
      </c>
      <c r="C146" s="2" t="s">
        <v>15</v>
      </c>
      <c r="D146" s="5">
        <v>45904</v>
      </c>
      <c r="E146" s="61">
        <v>45919</v>
      </c>
      <c r="F146" s="1">
        <f t="shared" si="16"/>
        <v>16</v>
      </c>
      <c r="G146" s="9">
        <v>45920</v>
      </c>
      <c r="I146" s="10" t="str">
        <f t="shared" ca="1" si="17"/>
        <v>Rejoined</v>
      </c>
      <c r="N146" s="10" t="str">
        <f t="shared" ca="1" si="18"/>
        <v/>
      </c>
      <c r="O146" s="11" t="str">
        <f t="shared" si="19"/>
        <v/>
      </c>
    </row>
    <row r="147" spans="1:15" ht="15.6" x14ac:dyDescent="0.3">
      <c r="A147" s="2">
        <v>1221</v>
      </c>
      <c r="B147" s="1" t="str">
        <f>IFERROR(VLOOKUP(A147,'[1]Master File'!$A$2:$C$312,3,0)," ")</f>
        <v>Amarnath Kundan</v>
      </c>
      <c r="C147" s="2" t="s">
        <v>15</v>
      </c>
      <c r="D147" s="5">
        <v>45908</v>
      </c>
      <c r="E147" s="61">
        <v>45967</v>
      </c>
      <c r="F147" s="1">
        <f t="shared" si="16"/>
        <v>60</v>
      </c>
      <c r="G147" s="9">
        <v>45970</v>
      </c>
      <c r="I147" s="10" t="str">
        <f t="shared" ca="1" si="17"/>
        <v>Rejoined</v>
      </c>
      <c r="N147" s="10" t="str">
        <f t="shared" ca="1" si="18"/>
        <v/>
      </c>
      <c r="O147" s="11">
        <f t="shared" si="19"/>
        <v>3</v>
      </c>
    </row>
    <row r="148" spans="1:15" ht="15.6" x14ac:dyDescent="0.3">
      <c r="A148" s="2">
        <v>2656</v>
      </c>
      <c r="B148" s="1" t="str">
        <f>IFERROR(VLOOKUP(A148,'[1]Master File'!$A$2:$C$312,3,0)," ")</f>
        <v>Amith V.R</v>
      </c>
      <c r="C148" s="2" t="s">
        <v>15</v>
      </c>
      <c r="D148" s="5">
        <v>45908</v>
      </c>
      <c r="E148" s="61">
        <v>45940</v>
      </c>
      <c r="F148" s="1">
        <f t="shared" si="16"/>
        <v>33</v>
      </c>
      <c r="G148" s="9">
        <v>45941</v>
      </c>
      <c r="I148" s="10" t="str">
        <f t="shared" ca="1" si="17"/>
        <v>Rejoined</v>
      </c>
      <c r="N148" s="10" t="str">
        <f t="shared" ca="1" si="18"/>
        <v/>
      </c>
      <c r="O148" s="11" t="str">
        <f t="shared" si="19"/>
        <v/>
      </c>
    </row>
    <row r="149" spans="1:15" ht="15.6" x14ac:dyDescent="0.3">
      <c r="A149" s="2">
        <v>1093</v>
      </c>
      <c r="B149" s="1" t="str">
        <f>IFERROR(VLOOKUP(A149,'[1]Master File'!$A$2:$C$312,3,0)," ")</f>
        <v>Rafiqul Islam Abu Bakkar</v>
      </c>
      <c r="C149" s="2" t="s">
        <v>15</v>
      </c>
      <c r="D149" s="5">
        <v>45911</v>
      </c>
      <c r="E149" s="61">
        <v>45970</v>
      </c>
      <c r="F149" s="1">
        <f t="shared" si="16"/>
        <v>60</v>
      </c>
      <c r="G149" s="9">
        <v>45978</v>
      </c>
      <c r="I149" s="10" t="str">
        <f t="shared" ca="1" si="17"/>
        <v>Rejoined</v>
      </c>
      <c r="N149" s="10" t="str">
        <f t="shared" ca="1" si="18"/>
        <v/>
      </c>
      <c r="O149" s="11">
        <f t="shared" si="19"/>
        <v>8</v>
      </c>
    </row>
    <row r="150" spans="1:15" ht="15.6" x14ac:dyDescent="0.3">
      <c r="A150" s="2">
        <v>2449</v>
      </c>
      <c r="B150" s="1" t="str">
        <f>IFERROR(VLOOKUP(A150,'[1]Master File'!$A$2:$C$312,3,0)," ")</f>
        <v>Md Fahad</v>
      </c>
      <c r="C150" s="2" t="s">
        <v>15</v>
      </c>
      <c r="D150" s="5">
        <v>45922</v>
      </c>
      <c r="E150" s="61">
        <v>45981</v>
      </c>
      <c r="F150" s="1">
        <f t="shared" si="16"/>
        <v>60</v>
      </c>
      <c r="G150" s="9">
        <v>45982</v>
      </c>
      <c r="I150" s="10" t="str">
        <f t="shared" ca="1" si="17"/>
        <v>Rejoined</v>
      </c>
      <c r="N150" s="10" t="str">
        <f t="shared" ca="1" si="18"/>
        <v/>
      </c>
      <c r="O150" s="11" t="str">
        <f t="shared" si="19"/>
        <v/>
      </c>
    </row>
    <row r="151" spans="1:15" ht="15.6" x14ac:dyDescent="0.3">
      <c r="A151" s="2">
        <v>1087</v>
      </c>
      <c r="B151" s="1" t="str">
        <f>IFERROR(VLOOKUP(A151,'[1]Master File'!$A$2:$C$312,3,0)," ")</f>
        <v>Aneesh Jose</v>
      </c>
      <c r="C151" s="2" t="s">
        <v>15</v>
      </c>
      <c r="D151" s="5">
        <v>45937</v>
      </c>
      <c r="E151" s="61">
        <v>45966</v>
      </c>
      <c r="F151" s="1">
        <f t="shared" si="16"/>
        <v>30</v>
      </c>
      <c r="G151" s="9">
        <v>45967</v>
      </c>
      <c r="I151" s="10" t="str">
        <f t="shared" ca="1" si="17"/>
        <v>Rejoined</v>
      </c>
      <c r="N151" s="10" t="str">
        <f t="shared" ca="1" si="18"/>
        <v/>
      </c>
      <c r="O151" s="11" t="str">
        <f t="shared" si="19"/>
        <v/>
      </c>
    </row>
    <row r="152" spans="1:15" ht="15.6" x14ac:dyDescent="0.3">
      <c r="A152" s="2">
        <v>2699</v>
      </c>
      <c r="B152" s="1" t="str">
        <f>IFERROR(VLOOKUP(A152,'[1]Master File'!$A$2:$C$312,3,0)," ")</f>
        <v>Sayuri Bhagyawi Jayarathna</v>
      </c>
      <c r="C152" s="2" t="s">
        <v>15</v>
      </c>
      <c r="D152" s="5">
        <v>45873</v>
      </c>
      <c r="E152" s="61">
        <v>45887</v>
      </c>
      <c r="F152" s="1">
        <f t="shared" si="16"/>
        <v>15</v>
      </c>
      <c r="G152" s="9">
        <v>45888</v>
      </c>
      <c r="I152" s="10" t="str">
        <f t="shared" ca="1" si="17"/>
        <v>Rejoined</v>
      </c>
      <c r="N152" s="10" t="str">
        <f t="shared" ca="1" si="18"/>
        <v/>
      </c>
      <c r="O152" s="11" t="str">
        <f t="shared" si="19"/>
        <v/>
      </c>
    </row>
    <row r="153" spans="1:15" ht="15.6" x14ac:dyDescent="0.3">
      <c r="A153" s="2">
        <v>2656</v>
      </c>
      <c r="B153" s="1" t="str">
        <f>IFERROR(VLOOKUP(A153,'[1]Master File'!$A$2:$C$312,3,0)," ")</f>
        <v>Amith V.R</v>
      </c>
      <c r="C153" s="2" t="s">
        <v>15</v>
      </c>
      <c r="D153" s="5">
        <v>45695</v>
      </c>
      <c r="E153" s="61">
        <v>45702</v>
      </c>
      <c r="F153" s="1">
        <f t="shared" ref="F153:F161" si="20">IF(OR(D153="",E153 =""), "", E153 - D153+ 1)</f>
        <v>8</v>
      </c>
      <c r="G153" s="9">
        <v>45703</v>
      </c>
      <c r="I153" s="10" t="str">
        <f t="shared" ref="I153:I161" ca="1" si="21">IF(AND(G153="", E153="", D153=""), "", IF(D153&gt;TODAY(), "Applied", IF(G153&lt;&gt;"", IF(G153&lt;E153, "Early Rejoin", "Rejoined"), IF(E153&gt;TODAY(), "On Leave", "Not Rejoined"))))</f>
        <v>Rejoined</v>
      </c>
      <c r="N153" s="10" t="str">
        <f t="shared" ref="N153:N161" ca="1" si="22">IF(AND(E153&lt;&gt;"", E153&gt;=TODAY(), E153&lt;=TODAY()+3), "Rejoin Follow Up", "")</f>
        <v/>
      </c>
      <c r="O153" s="11" t="str">
        <f t="shared" si="19"/>
        <v/>
      </c>
    </row>
    <row r="154" spans="1:15" ht="15.6" x14ac:dyDescent="0.3">
      <c r="A154" s="2">
        <v>190</v>
      </c>
      <c r="B154" s="1" t="str">
        <f>IFERROR(VLOOKUP(A154,'[1]Master File'!$A$2:$C$312,3,0)," ")</f>
        <v>Nasir Aziz Masih Aziz</v>
      </c>
      <c r="C154" s="2" t="s">
        <v>601</v>
      </c>
      <c r="D154" s="5">
        <v>45888</v>
      </c>
      <c r="E154" s="61">
        <v>45891</v>
      </c>
      <c r="F154" s="1">
        <f t="shared" si="20"/>
        <v>4</v>
      </c>
      <c r="G154" s="9">
        <v>45892</v>
      </c>
      <c r="I154" s="10" t="str">
        <f t="shared" ca="1" si="21"/>
        <v>Rejoined</v>
      </c>
      <c r="N154" s="10" t="str">
        <f t="shared" ca="1" si="22"/>
        <v/>
      </c>
      <c r="O154" s="11"/>
    </row>
    <row r="155" spans="1:15" ht="15.6" x14ac:dyDescent="0.3">
      <c r="A155" s="2">
        <v>2526</v>
      </c>
      <c r="B155" s="1" t="str">
        <f>IFERROR(VLOOKUP(A155,'[1]Master File'!$A$2:$C$312,3,0)," ")</f>
        <v>Shahid Rafique</v>
      </c>
      <c r="C155" s="2" t="s">
        <v>15</v>
      </c>
      <c r="D155" s="5">
        <v>45920</v>
      </c>
      <c r="E155" s="61">
        <v>45949</v>
      </c>
      <c r="F155" s="1">
        <f t="shared" si="20"/>
        <v>30</v>
      </c>
      <c r="G155" s="9">
        <v>45950</v>
      </c>
      <c r="I155" s="10" t="str">
        <f t="shared" ca="1" si="21"/>
        <v>Rejoined</v>
      </c>
      <c r="N155" s="10" t="str">
        <f t="shared" ca="1" si="22"/>
        <v/>
      </c>
      <c r="O155" s="11" t="str">
        <f t="shared" ref="O155:O161" si="23">IF(AND(G155&lt;&gt;"", G155 &gt; E155, (G155 - E155) &lt;&gt; 1), G155 - E155, "")</f>
        <v/>
      </c>
    </row>
    <row r="156" spans="1:15" ht="15.6" x14ac:dyDescent="0.3">
      <c r="A156" s="2">
        <v>2707</v>
      </c>
      <c r="B156" s="1" t="str">
        <f>IFERROR(VLOOKUP(A156,'[1]Master File'!$A$2:$C$312,3,0)," ")</f>
        <v>Mosim Khan</v>
      </c>
      <c r="C156" s="2" t="s">
        <v>15</v>
      </c>
      <c r="D156" s="5">
        <v>45889</v>
      </c>
      <c r="E156" s="61">
        <v>45904</v>
      </c>
      <c r="F156" s="1">
        <f t="shared" si="20"/>
        <v>16</v>
      </c>
      <c r="G156" s="9">
        <v>45905</v>
      </c>
      <c r="I156" s="10" t="str">
        <f t="shared" ca="1" si="21"/>
        <v>Rejoined</v>
      </c>
      <c r="N156" s="10" t="str">
        <f t="shared" ca="1" si="22"/>
        <v/>
      </c>
      <c r="O156" s="11" t="str">
        <f t="shared" si="23"/>
        <v/>
      </c>
    </row>
    <row r="157" spans="1:15" ht="15.6" x14ac:dyDescent="0.3">
      <c r="A157" s="2">
        <v>2670</v>
      </c>
      <c r="B157" s="1" t="str">
        <f>IFERROR(VLOOKUP(A157,'[1]Master File'!$A$2:$C$312,3,0)," ")</f>
        <v>Bobby Singh Jaspal Singh</v>
      </c>
      <c r="C157" s="1" t="s">
        <v>14</v>
      </c>
      <c r="D157" s="5">
        <v>45876</v>
      </c>
      <c r="E157" s="61">
        <v>45889</v>
      </c>
      <c r="F157" s="1">
        <f>Table1[[#This Row],[End Date]]-Table1[[#This Row],[Start Date]]+1</f>
        <v>14</v>
      </c>
      <c r="G157" s="9">
        <v>45916</v>
      </c>
      <c r="I157" s="10" t="str">
        <f t="shared" ca="1" si="21"/>
        <v>Rejoined</v>
      </c>
      <c r="N157" s="10" t="str">
        <f t="shared" ca="1" si="22"/>
        <v/>
      </c>
      <c r="O157" s="11">
        <f t="shared" si="23"/>
        <v>27</v>
      </c>
    </row>
    <row r="158" spans="1:15" ht="15.6" x14ac:dyDescent="0.3">
      <c r="A158" s="2">
        <v>2240</v>
      </c>
      <c r="B158" s="1" t="str">
        <f>IFERROR(VLOOKUP(A158,'[1]Master File'!$A$2:$C$312,3,0)," ")</f>
        <v>Rifas Ansary Mohammed</v>
      </c>
      <c r="C158" s="2" t="s">
        <v>15</v>
      </c>
      <c r="D158" s="5">
        <v>45880</v>
      </c>
      <c r="E158" s="61">
        <v>45939</v>
      </c>
      <c r="F158" s="1">
        <f t="shared" si="20"/>
        <v>60</v>
      </c>
      <c r="G158" s="9">
        <v>45940</v>
      </c>
      <c r="I158" s="10" t="str">
        <f t="shared" ca="1" si="21"/>
        <v>Rejoined</v>
      </c>
      <c r="N158" s="10" t="str">
        <f t="shared" ca="1" si="22"/>
        <v/>
      </c>
      <c r="O158" s="11" t="str">
        <f t="shared" si="23"/>
        <v/>
      </c>
    </row>
    <row r="159" spans="1:15" ht="15.6" x14ac:dyDescent="0.3">
      <c r="A159" s="2">
        <v>2610</v>
      </c>
      <c r="B159" s="1" t="str">
        <f>IFERROR(VLOOKUP(A159,'[1]Master File'!$A$2:$C$312,3,0)," ")</f>
        <v>Natalia Kolieva</v>
      </c>
      <c r="C159" s="1" t="s">
        <v>15</v>
      </c>
      <c r="D159" s="5">
        <v>45859</v>
      </c>
      <c r="E159" s="61">
        <v>45873</v>
      </c>
      <c r="F159" s="1">
        <f t="shared" si="20"/>
        <v>15</v>
      </c>
      <c r="G159" s="9">
        <v>45874</v>
      </c>
      <c r="I159" s="10" t="str">
        <f t="shared" ca="1" si="21"/>
        <v>Rejoined</v>
      </c>
      <c r="N159" s="10" t="str">
        <f t="shared" ca="1" si="22"/>
        <v/>
      </c>
      <c r="O159" s="11" t="str">
        <f t="shared" si="23"/>
        <v/>
      </c>
    </row>
    <row r="160" spans="1:15" ht="15.6" x14ac:dyDescent="0.3">
      <c r="A160" s="2">
        <v>2231</v>
      </c>
      <c r="B160" s="1" t="str">
        <f>IFERROR(VLOOKUP(A160,'[1]Master File'!$A$2:$C$312,3,0)," ")</f>
        <v xml:space="preserve">Mohanad Tarek Ghziel </v>
      </c>
      <c r="C160" s="1" t="s">
        <v>15</v>
      </c>
      <c r="D160" s="5">
        <v>45880</v>
      </c>
      <c r="E160" s="61">
        <v>45898</v>
      </c>
      <c r="F160" s="1">
        <f t="shared" si="20"/>
        <v>19</v>
      </c>
      <c r="G160" s="37">
        <v>45899</v>
      </c>
      <c r="I160" s="38" t="str">
        <f t="shared" ca="1" si="21"/>
        <v>Rejoined</v>
      </c>
      <c r="N160" s="38" t="str">
        <f t="shared" ca="1" si="22"/>
        <v/>
      </c>
      <c r="O160" s="11" t="str">
        <f t="shared" si="23"/>
        <v/>
      </c>
    </row>
    <row r="161" spans="1:16" ht="15.6" x14ac:dyDescent="0.3">
      <c r="A161" s="2">
        <v>2429</v>
      </c>
      <c r="B161" s="36" t="str">
        <f>IFERROR(VLOOKUP(A161,'[1]Master File'!$A$2:$C$312,3,0)," ")</f>
        <v>Anowar Hossain</v>
      </c>
      <c r="C161" s="36" t="s">
        <v>15</v>
      </c>
      <c r="D161" s="5">
        <v>45922</v>
      </c>
      <c r="E161" s="61">
        <v>45981</v>
      </c>
      <c r="F161" s="36">
        <f t="shared" si="20"/>
        <v>60</v>
      </c>
      <c r="G161" s="42">
        <v>45985</v>
      </c>
      <c r="H161" s="2"/>
      <c r="I161" s="35" t="str">
        <f t="shared" ca="1" si="21"/>
        <v>Rejoined</v>
      </c>
      <c r="J161" s="2"/>
      <c r="K161" s="2"/>
      <c r="L161" s="2"/>
      <c r="M161" s="2"/>
      <c r="N161" s="35" t="str">
        <f t="shared" ca="1" si="22"/>
        <v/>
      </c>
      <c r="O161" s="39">
        <f t="shared" si="23"/>
        <v>4</v>
      </c>
    </row>
    <row r="162" spans="1:16" ht="15.6" x14ac:dyDescent="0.3">
      <c r="A162" s="2">
        <v>659</v>
      </c>
      <c r="B162" s="1" t="str">
        <f>IFERROR(VLOOKUP(A162,'[1]Master File'!$A$2:$C$312,3,0)," ")</f>
        <v>Monir Hossain Reno Miah</v>
      </c>
      <c r="C162" s="2" t="s">
        <v>15</v>
      </c>
      <c r="D162" s="5">
        <v>45943</v>
      </c>
      <c r="E162" s="61">
        <v>46002</v>
      </c>
      <c r="F162" s="1">
        <f t="shared" ref="F162:F171" si="24">IF(OR(D162="",E162 =""), "", E162 - D162+ 1)</f>
        <v>60</v>
      </c>
      <c r="G162" s="42">
        <v>46006</v>
      </c>
      <c r="H162" s="2"/>
      <c r="I162" s="35" t="str">
        <f t="shared" ref="I162:I171" ca="1" si="25">IF(AND(G162="", E162="", D162=""), "", IF(D162&gt;TODAY(), "Applied", IF(G162&lt;&gt;"", IF(G162&lt;E162, "Early Rejoin", "Rejoined"), IF(E162&gt;TODAY(), "On Leave", "Not Rejoined"))))</f>
        <v>Rejoined</v>
      </c>
      <c r="J162" s="2"/>
      <c r="K162" s="2"/>
      <c r="L162" s="2"/>
      <c r="M162" s="2"/>
      <c r="N162" s="35" t="str">
        <f t="shared" ref="N162:N171" ca="1" si="26">IF(AND(E162&lt;&gt;"", E162&gt;=TODAY(), E162&lt;=TODAY()+3), "Rejoin Follow Up", "")</f>
        <v/>
      </c>
      <c r="O162" s="11">
        <f t="shared" ref="O162:O171" si="27">IF(AND(G162&lt;&gt;"", G162 &gt; E162, (G162 - E162) &lt;&gt; 1), G162 - E162, "")</f>
        <v>4</v>
      </c>
    </row>
    <row r="163" spans="1:16" ht="15.6" x14ac:dyDescent="0.3">
      <c r="A163" s="2">
        <v>2739</v>
      </c>
      <c r="B163" s="2" t="s">
        <v>513</v>
      </c>
      <c r="C163" s="2" t="s">
        <v>14</v>
      </c>
      <c r="D163" s="5">
        <v>45873</v>
      </c>
      <c r="E163" s="61">
        <v>45890</v>
      </c>
      <c r="F163" s="1">
        <f t="shared" si="24"/>
        <v>18</v>
      </c>
      <c r="G163" s="42">
        <v>45891</v>
      </c>
      <c r="H163" s="2"/>
      <c r="I163" s="35" t="str">
        <f t="shared" ca="1" si="25"/>
        <v>Rejoined</v>
      </c>
      <c r="J163" s="2"/>
      <c r="K163" s="2"/>
      <c r="L163" s="2"/>
      <c r="M163" s="2"/>
      <c r="N163" s="35" t="str">
        <f t="shared" ca="1" si="26"/>
        <v/>
      </c>
      <c r="O163" s="11" t="str">
        <f t="shared" si="27"/>
        <v/>
      </c>
      <c r="P163" t="s">
        <v>602</v>
      </c>
    </row>
    <row r="164" spans="1:16" ht="15.6" x14ac:dyDescent="0.3">
      <c r="A164" s="2">
        <v>2692</v>
      </c>
      <c r="B164" s="1" t="str">
        <f>IFERROR(VLOOKUP(A164,'[1]Master File'!$A$2:$C$312,3,0)," ")</f>
        <v>Imran Ali</v>
      </c>
      <c r="C164" s="2" t="s">
        <v>15</v>
      </c>
      <c r="D164" s="5">
        <v>45880</v>
      </c>
      <c r="E164" s="61">
        <v>45910</v>
      </c>
      <c r="F164" s="1">
        <f t="shared" si="24"/>
        <v>31</v>
      </c>
      <c r="G164" s="42">
        <v>45910</v>
      </c>
      <c r="H164" s="2"/>
      <c r="I164" s="35" t="str">
        <f t="shared" ca="1" si="25"/>
        <v>Rejoined</v>
      </c>
      <c r="J164" s="2"/>
      <c r="K164" s="2"/>
      <c r="L164" s="2"/>
      <c r="M164" s="2"/>
      <c r="N164" s="35" t="str">
        <f t="shared" ca="1" si="26"/>
        <v/>
      </c>
      <c r="O164" s="11" t="str">
        <f t="shared" si="27"/>
        <v/>
      </c>
    </row>
    <row r="165" spans="1:16" ht="15.6" x14ac:dyDescent="0.3">
      <c r="A165" s="2">
        <v>1061</v>
      </c>
      <c r="B165" s="1" t="s">
        <v>598</v>
      </c>
      <c r="C165" s="2" t="s">
        <v>15</v>
      </c>
      <c r="D165" s="5">
        <v>45887</v>
      </c>
      <c r="E165" s="61">
        <v>45890</v>
      </c>
      <c r="F165" s="1">
        <f t="shared" si="24"/>
        <v>4</v>
      </c>
      <c r="G165" s="42">
        <v>45891</v>
      </c>
      <c r="H165" s="2"/>
      <c r="I165" s="35" t="str">
        <f t="shared" ca="1" si="25"/>
        <v>Rejoined</v>
      </c>
      <c r="J165" s="2"/>
      <c r="K165" s="2"/>
      <c r="L165" s="2"/>
      <c r="M165" s="2"/>
      <c r="N165" s="35" t="str">
        <f t="shared" ca="1" si="26"/>
        <v/>
      </c>
      <c r="O165" s="11" t="str">
        <f t="shared" si="27"/>
        <v/>
      </c>
    </row>
    <row r="166" spans="1:16" ht="15.6" x14ac:dyDescent="0.3">
      <c r="A166" s="2">
        <v>2417</v>
      </c>
      <c r="B166" s="1" t="str">
        <f>IFERROR(VLOOKUP(A166,'[1]Master File'!$A$2:$C$312,3,0)," ")</f>
        <v>Mohammad Shafiq</v>
      </c>
      <c r="C166" s="2" t="s">
        <v>15</v>
      </c>
      <c r="D166" s="5">
        <v>45880</v>
      </c>
      <c r="E166" s="61">
        <v>45939</v>
      </c>
      <c r="F166" s="1">
        <f t="shared" si="24"/>
        <v>60</v>
      </c>
      <c r="G166" s="42">
        <v>45943</v>
      </c>
      <c r="H166" s="2"/>
      <c r="I166" s="35" t="str">
        <f t="shared" ca="1" si="25"/>
        <v>Rejoined</v>
      </c>
      <c r="J166" s="2"/>
      <c r="K166" s="2"/>
      <c r="L166" s="2"/>
      <c r="M166" s="2"/>
      <c r="N166" s="35" t="str">
        <f t="shared" ca="1" si="26"/>
        <v/>
      </c>
      <c r="O166" s="11">
        <f t="shared" si="27"/>
        <v>4</v>
      </c>
    </row>
    <row r="167" spans="1:16" ht="15.6" x14ac:dyDescent="0.3">
      <c r="A167" s="2">
        <v>276</v>
      </c>
      <c r="B167" s="1" t="str">
        <f>IFERROR(VLOOKUP(A167,'[1]Master File'!$A$2:$C$312,3,0)," ")</f>
        <v>Shoukath Ahmed Khan</v>
      </c>
      <c r="C167" s="2" t="s">
        <v>14</v>
      </c>
      <c r="D167" s="5">
        <v>45862</v>
      </c>
      <c r="E167" s="61">
        <v>45876</v>
      </c>
      <c r="F167" s="1">
        <f t="shared" si="24"/>
        <v>15</v>
      </c>
      <c r="G167" s="42">
        <v>45877</v>
      </c>
      <c r="H167" s="2"/>
      <c r="I167" s="35" t="str">
        <f t="shared" ca="1" si="25"/>
        <v>Rejoined</v>
      </c>
      <c r="J167" s="2"/>
      <c r="K167" s="2"/>
      <c r="L167" s="2"/>
      <c r="M167" s="2"/>
      <c r="N167" s="35" t="str">
        <f t="shared" ca="1" si="26"/>
        <v/>
      </c>
      <c r="O167" s="11" t="str">
        <f t="shared" si="27"/>
        <v/>
      </c>
    </row>
    <row r="168" spans="1:16" ht="15.6" x14ac:dyDescent="0.3">
      <c r="A168" s="2">
        <v>945</v>
      </c>
      <c r="B168" s="1" t="str">
        <f>IFERROR(VLOOKUP(A168,'[1]Master File'!$A$2:$C$312,3,0)," ")</f>
        <v>Muhammad Irfan Ramzan</v>
      </c>
      <c r="C168" s="2" t="s">
        <v>15</v>
      </c>
      <c r="D168" s="5">
        <v>45772</v>
      </c>
      <c r="E168" s="61">
        <v>45831</v>
      </c>
      <c r="F168" s="1">
        <f t="shared" si="24"/>
        <v>60</v>
      </c>
      <c r="G168" s="42">
        <v>45869</v>
      </c>
      <c r="H168" s="2"/>
      <c r="I168" s="35" t="str">
        <f t="shared" ca="1" si="25"/>
        <v>Rejoined</v>
      </c>
      <c r="J168" s="2"/>
      <c r="K168" s="2"/>
      <c r="L168" s="2"/>
      <c r="M168" s="2"/>
      <c r="N168" s="35" t="str">
        <f t="shared" ca="1" si="26"/>
        <v/>
      </c>
      <c r="O168" s="11">
        <f t="shared" si="27"/>
        <v>38</v>
      </c>
    </row>
    <row r="169" spans="1:16" ht="15.6" x14ac:dyDescent="0.3">
      <c r="A169" s="2">
        <v>351</v>
      </c>
      <c r="B169" s="1" t="str">
        <f>IFERROR(VLOOKUP(A169,'[1]Master File'!$A$2:$C$312,3,0)," ")</f>
        <v>Shameem Hossain Mofser Mollah</v>
      </c>
      <c r="C169" s="2" t="s">
        <v>13</v>
      </c>
      <c r="D169" s="5">
        <v>45887</v>
      </c>
      <c r="E169" s="61">
        <v>45916</v>
      </c>
      <c r="F169" s="1">
        <f t="shared" si="24"/>
        <v>30</v>
      </c>
      <c r="G169" s="42">
        <v>45917</v>
      </c>
      <c r="H169" s="2"/>
      <c r="I169" s="35" t="str">
        <f t="shared" ca="1" si="25"/>
        <v>Rejoined</v>
      </c>
      <c r="J169" s="2"/>
      <c r="K169" s="2"/>
      <c r="L169" s="2"/>
      <c r="M169" s="2"/>
      <c r="N169" s="35" t="str">
        <f t="shared" ca="1" si="26"/>
        <v/>
      </c>
      <c r="O169" s="11" t="str">
        <f t="shared" si="27"/>
        <v/>
      </c>
    </row>
    <row r="170" spans="1:16" ht="15.6" x14ac:dyDescent="0.3">
      <c r="A170" s="6">
        <v>276</v>
      </c>
      <c r="B170" s="1" t="str">
        <f>IFERROR(VLOOKUP(A170,'[1]Master File'!$A$2:$C$312,3,0)," ")</f>
        <v>Shoukath Ahmed Khan</v>
      </c>
      <c r="C170" s="2" t="s">
        <v>14</v>
      </c>
      <c r="D170" s="5">
        <v>45862</v>
      </c>
      <c r="E170" s="61">
        <v>45876</v>
      </c>
      <c r="F170" s="1">
        <f t="shared" si="24"/>
        <v>15</v>
      </c>
      <c r="G170" s="42">
        <v>45877</v>
      </c>
      <c r="H170" s="2"/>
      <c r="I170" s="35" t="str">
        <f t="shared" ca="1" si="25"/>
        <v>Rejoined</v>
      </c>
      <c r="J170" s="2"/>
      <c r="K170" s="2"/>
      <c r="L170" s="2"/>
      <c r="M170" s="2"/>
      <c r="N170" s="35" t="str">
        <f t="shared" ca="1" si="26"/>
        <v/>
      </c>
      <c r="O170" s="11" t="str">
        <f t="shared" si="27"/>
        <v/>
      </c>
    </row>
    <row r="171" spans="1:16" ht="15.6" x14ac:dyDescent="0.3">
      <c r="A171" s="40">
        <v>565</v>
      </c>
      <c r="B171" s="36" t="str">
        <f>IFERROR(VLOOKUP(A171,'[1]Master File'!$A$2:$C$312,3,0)," ")</f>
        <v>Md Zahangir Alam Abdur Rahoman</v>
      </c>
      <c r="C171" s="40" t="s">
        <v>15</v>
      </c>
      <c r="D171" s="41">
        <v>45840</v>
      </c>
      <c r="E171" s="62">
        <v>45899</v>
      </c>
      <c r="F171" s="36">
        <f t="shared" si="24"/>
        <v>60</v>
      </c>
      <c r="G171" s="42">
        <v>45912</v>
      </c>
      <c r="H171" s="2"/>
      <c r="I171" s="35" t="str">
        <f t="shared" ca="1" si="25"/>
        <v>Rejoined</v>
      </c>
      <c r="J171" s="2"/>
      <c r="K171" s="2"/>
      <c r="L171" s="2"/>
      <c r="M171" s="2"/>
      <c r="N171" s="35" t="str">
        <f t="shared" ca="1" si="26"/>
        <v/>
      </c>
      <c r="O171" s="39">
        <f t="shared" si="27"/>
        <v>13</v>
      </c>
      <c r="P171" t="s">
        <v>607</v>
      </c>
    </row>
    <row r="172" spans="1:16" ht="15.6" x14ac:dyDescent="0.3">
      <c r="A172" s="2">
        <v>1856</v>
      </c>
      <c r="B172" s="1" t="str">
        <f>IFERROR(VLOOKUP(A172,'[1]Master File'!$A$2:$C$312,3,0)," ")</f>
        <v>Kumar Gautam Kamal Kishore Prasad</v>
      </c>
      <c r="C172" s="2" t="s">
        <v>15</v>
      </c>
      <c r="D172" s="5">
        <v>45849</v>
      </c>
      <c r="E172" s="61">
        <v>45858</v>
      </c>
      <c r="F172" s="1">
        <f t="shared" ref="F172:F179" si="28">IF(OR(D172="",E172 =""), "", E172 - D172+ 1)</f>
        <v>10</v>
      </c>
      <c r="G172" s="37">
        <v>45859</v>
      </c>
      <c r="I172" s="38" t="str">
        <f t="shared" ref="I172:I179" ca="1" si="29">IF(AND(G172="", E172="", D172=""), "", IF(D172&gt;TODAY(), "Applied", IF(G172&lt;&gt;"", IF(G172&lt;E172, "Early Rejoin", "Rejoined"), IF(E172&gt;TODAY(), "On Leave", "Not Rejoined"))))</f>
        <v>Rejoined</v>
      </c>
      <c r="N172" s="38" t="str">
        <f t="shared" ref="N172:N179" ca="1" si="30">IF(AND(E172&lt;&gt;"", E172&gt;=TODAY(), E172&lt;=TODAY()+3), "Rejoin Follow Up", "")</f>
        <v/>
      </c>
      <c r="O172" s="11" t="str">
        <f t="shared" ref="O172:O179" si="31">IF(AND(G172&lt;&gt;"", G172 &gt; E172, (G172 - E172) &lt;&gt; 1), G172 - E172, "")</f>
        <v/>
      </c>
      <c r="P172" t="s">
        <v>605</v>
      </c>
    </row>
    <row r="173" spans="1:16" ht="15.6" x14ac:dyDescent="0.3">
      <c r="A173" s="2">
        <v>2724</v>
      </c>
      <c r="B173" s="1" t="str">
        <f>IFERROR(VLOOKUP(A173,'[1]Master File'!$A$2:$C$312,3,0)," ")</f>
        <v>Bijeeshkumar Valladiyil Gopi</v>
      </c>
      <c r="C173" s="2" t="s">
        <v>15</v>
      </c>
      <c r="D173" s="5">
        <v>45939</v>
      </c>
      <c r="E173" s="61">
        <v>45968</v>
      </c>
      <c r="F173" s="1">
        <f t="shared" si="28"/>
        <v>30</v>
      </c>
      <c r="G173" s="37">
        <v>45969</v>
      </c>
      <c r="I173" s="38" t="str">
        <f t="shared" ca="1" si="29"/>
        <v>Rejoined</v>
      </c>
      <c r="N173" s="38" t="str">
        <f t="shared" ca="1" si="30"/>
        <v/>
      </c>
      <c r="O173" s="11" t="str">
        <f t="shared" si="31"/>
        <v/>
      </c>
    </row>
    <row r="174" spans="1:16" ht="15.6" x14ac:dyDescent="0.3">
      <c r="A174" s="2">
        <v>1319</v>
      </c>
      <c r="B174" s="1" t="str">
        <f>IFERROR(VLOOKUP(A174,'[1]Master File'!$A$2:$C$312,3,0)," ")</f>
        <v>Mohammed Ziyauddin Shaikh‎</v>
      </c>
      <c r="C174" s="2" t="s">
        <v>15</v>
      </c>
      <c r="D174" s="5">
        <v>45750</v>
      </c>
      <c r="E174" s="61">
        <v>45754</v>
      </c>
      <c r="F174" s="1">
        <f t="shared" si="28"/>
        <v>5</v>
      </c>
      <c r="G174" s="37">
        <v>45755</v>
      </c>
      <c r="I174" s="38" t="str">
        <f t="shared" ca="1" si="29"/>
        <v>Rejoined</v>
      </c>
      <c r="N174" s="38" t="str">
        <f t="shared" ca="1" si="30"/>
        <v/>
      </c>
      <c r="O174" s="11" t="str">
        <f t="shared" si="31"/>
        <v/>
      </c>
    </row>
    <row r="175" spans="1:16" ht="15.6" x14ac:dyDescent="0.3">
      <c r="A175" s="2">
        <v>1319</v>
      </c>
      <c r="B175" s="1" t="str">
        <f>IFERROR(VLOOKUP(A175,'[1]Master File'!$A$2:$C$312,3,0)," ")</f>
        <v>Mohammed Ziyauddin Shaikh‎</v>
      </c>
      <c r="C175" s="2" t="s">
        <v>601</v>
      </c>
      <c r="D175" s="5">
        <v>45881</v>
      </c>
      <c r="E175" s="61">
        <v>45902</v>
      </c>
      <c r="F175" s="1">
        <f t="shared" si="28"/>
        <v>22</v>
      </c>
      <c r="G175" s="37">
        <v>45903</v>
      </c>
      <c r="I175" s="38" t="str">
        <f t="shared" ca="1" si="29"/>
        <v>Rejoined</v>
      </c>
      <c r="N175" s="38" t="str">
        <f t="shared" ca="1" si="30"/>
        <v/>
      </c>
      <c r="O175" s="11" t="str">
        <f t="shared" si="31"/>
        <v/>
      </c>
    </row>
    <row r="176" spans="1:16" ht="15.6" x14ac:dyDescent="0.3">
      <c r="A176" s="2">
        <v>360</v>
      </c>
      <c r="B176" s="1" t="str">
        <f>IFERROR(VLOOKUP(A176,'[1]Master File'!$A$2:$C$312,3,0)," ")</f>
        <v>Moazam Qureshi Mohammed</v>
      </c>
      <c r="C176" s="2" t="s">
        <v>601</v>
      </c>
      <c r="D176" s="5">
        <v>45901</v>
      </c>
      <c r="E176" s="61">
        <v>45920</v>
      </c>
      <c r="F176" s="1">
        <f t="shared" si="28"/>
        <v>20</v>
      </c>
      <c r="G176" s="37">
        <v>45921</v>
      </c>
      <c r="I176" s="38" t="str">
        <f t="shared" ca="1" si="29"/>
        <v>Rejoined</v>
      </c>
      <c r="N176" s="38" t="str">
        <f t="shared" ca="1" si="30"/>
        <v/>
      </c>
      <c r="O176" s="11" t="str">
        <f t="shared" si="31"/>
        <v/>
      </c>
    </row>
    <row r="177" spans="1:15" ht="15.6" x14ac:dyDescent="0.3">
      <c r="A177" s="2">
        <v>2451</v>
      </c>
      <c r="B177" s="1" t="str">
        <f>IFERROR(VLOOKUP(A177,'[1]Master File'!$A$2:$C$312,3,0)," ")</f>
        <v>Faisal Yousaf Muhammad</v>
      </c>
      <c r="C177" s="2" t="s">
        <v>601</v>
      </c>
      <c r="D177" s="5">
        <v>45943</v>
      </c>
      <c r="E177" s="61">
        <v>45972</v>
      </c>
      <c r="F177" s="1">
        <f t="shared" si="28"/>
        <v>30</v>
      </c>
      <c r="G177" s="37">
        <v>45975</v>
      </c>
      <c r="I177" s="38" t="str">
        <f t="shared" ca="1" si="29"/>
        <v>Rejoined</v>
      </c>
      <c r="N177" s="38" t="str">
        <f t="shared" ca="1" si="30"/>
        <v/>
      </c>
      <c r="O177" s="11">
        <f t="shared" si="31"/>
        <v>3</v>
      </c>
    </row>
    <row r="178" spans="1:15" ht="15.6" x14ac:dyDescent="0.3">
      <c r="A178" s="2">
        <v>2687</v>
      </c>
      <c r="B178" s="1" t="str">
        <f>IFERROR(VLOOKUP(A178,'[1]Master File'!$A$2:$C$312,3,0)," ")</f>
        <v>Shaheen Siraj Hunerkar</v>
      </c>
      <c r="C178" s="2" t="s">
        <v>601</v>
      </c>
      <c r="D178" s="5">
        <v>45950</v>
      </c>
      <c r="E178" s="61">
        <v>45982</v>
      </c>
      <c r="F178" s="1">
        <f t="shared" si="28"/>
        <v>33</v>
      </c>
      <c r="G178" s="37">
        <v>45983</v>
      </c>
      <c r="I178" s="38" t="str">
        <f t="shared" ca="1" si="29"/>
        <v>Rejoined</v>
      </c>
      <c r="N178" s="38" t="str">
        <f t="shared" ca="1" si="30"/>
        <v/>
      </c>
      <c r="O178" s="11" t="str">
        <f t="shared" si="31"/>
        <v/>
      </c>
    </row>
    <row r="179" spans="1:15" ht="15.6" x14ac:dyDescent="0.3">
      <c r="A179" s="40">
        <v>2589</v>
      </c>
      <c r="B179" s="36" t="str">
        <f>IFERROR(VLOOKUP(A179,'[1]Master File'!$A$2:$C$312,3,0)," ")</f>
        <v>Mohammed Sameer Sageer Ahmed</v>
      </c>
      <c r="C179" s="40" t="s">
        <v>15</v>
      </c>
      <c r="D179" s="41">
        <v>45981</v>
      </c>
      <c r="E179" s="62">
        <v>46040</v>
      </c>
      <c r="F179" s="1">
        <f t="shared" si="28"/>
        <v>60</v>
      </c>
      <c r="G179" s="37">
        <v>46072</v>
      </c>
      <c r="I179" s="38" t="str">
        <f t="shared" ca="1" si="29"/>
        <v>Rejoined</v>
      </c>
      <c r="N179" s="38" t="str">
        <f t="shared" ca="1" si="30"/>
        <v/>
      </c>
      <c r="O179" s="39">
        <f t="shared" si="31"/>
        <v>32</v>
      </c>
    </row>
    <row r="180" spans="1:15" ht="15.6" x14ac:dyDescent="0.3">
      <c r="A180" s="2">
        <v>2436</v>
      </c>
      <c r="B180" s="1" t="str">
        <f>IFERROR(VLOOKUP(A180,'[1]Master File'!$A$2:$C$312,3,0)," ")</f>
        <v>Mumeen Khan</v>
      </c>
      <c r="C180" s="2" t="s">
        <v>15</v>
      </c>
      <c r="D180" s="5">
        <v>45955</v>
      </c>
      <c r="E180" s="61">
        <v>46014</v>
      </c>
      <c r="F180" s="1">
        <f t="shared" ref="F180:F194" si="32">IF(OR(D180="",E180 =""), "", E180 - D180+ 1)</f>
        <v>60</v>
      </c>
      <c r="G180" s="37">
        <v>46017</v>
      </c>
      <c r="I180" s="38" t="str">
        <f t="shared" ref="I180:I194" ca="1" si="33">IF(AND(G180="", E180="", D180=""), "", IF(D180&gt;TODAY(), "Applied", IF(G180&lt;&gt;"", IF(G180&lt;E180, "Early Rejoin", "Rejoined"), IF(E180&gt;TODAY(), "On Leave", "Not Rejoined"))))</f>
        <v>Rejoined</v>
      </c>
      <c r="N180" s="38" t="str">
        <f t="shared" ref="N180:N194" ca="1" si="34">IF(AND(E180&lt;&gt;"", E180&gt;=TODAY(), E180&lt;=TODAY()+3), "Rejoin Follow Up", "")</f>
        <v/>
      </c>
      <c r="O180" s="11">
        <f t="shared" ref="O180:O194" si="35">IF(AND(G180&lt;&gt;"", G180 &gt; E180, (G180 - E180) &lt;&gt; 1), G180 - E180, "")</f>
        <v>3</v>
      </c>
    </row>
    <row r="181" spans="1:15" ht="15.6" x14ac:dyDescent="0.3">
      <c r="A181" s="2">
        <v>2709</v>
      </c>
      <c r="B181" s="1" t="str">
        <f>IFERROR(VLOOKUP(A181,'[1]Master File'!$A$2:$C$312,3,0)," ")</f>
        <v>Sandeep Kumar Verma</v>
      </c>
      <c r="C181" s="5" t="s">
        <v>15</v>
      </c>
      <c r="D181" s="5">
        <v>45936</v>
      </c>
      <c r="E181" s="61">
        <v>45965</v>
      </c>
      <c r="F181" s="1">
        <f t="shared" si="32"/>
        <v>30</v>
      </c>
      <c r="G181" s="37">
        <v>45967</v>
      </c>
      <c r="I181" s="45" t="str">
        <f t="shared" ca="1" si="33"/>
        <v>Rejoined</v>
      </c>
      <c r="N181" s="38" t="str">
        <f t="shared" ca="1" si="34"/>
        <v/>
      </c>
      <c r="O181" s="11">
        <f t="shared" si="35"/>
        <v>2</v>
      </c>
    </row>
    <row r="182" spans="1:15" ht="15.6" x14ac:dyDescent="0.3">
      <c r="A182" s="2">
        <v>190</v>
      </c>
      <c r="B182" s="1" t="str">
        <f>IFERROR(VLOOKUP(A182,'[1]Master File'!$A$2:$C$312,3,0)," ")</f>
        <v>Nasir Aziz Masih Aziz</v>
      </c>
      <c r="C182" s="2" t="s">
        <v>15</v>
      </c>
      <c r="D182" s="5">
        <v>45929</v>
      </c>
      <c r="E182" s="61">
        <v>45933</v>
      </c>
      <c r="F182" s="1">
        <f t="shared" si="32"/>
        <v>5</v>
      </c>
      <c r="G182" s="37">
        <v>45934</v>
      </c>
      <c r="I182" s="38" t="str">
        <f t="shared" ca="1" si="33"/>
        <v>Rejoined</v>
      </c>
      <c r="N182" s="38" t="str">
        <f t="shared" ca="1" si="34"/>
        <v/>
      </c>
      <c r="O182" s="11" t="str">
        <f t="shared" si="35"/>
        <v/>
      </c>
    </row>
    <row r="183" spans="1:15" ht="15.6" x14ac:dyDescent="0.3">
      <c r="A183" s="2">
        <v>2609</v>
      </c>
      <c r="B183" s="1" t="str">
        <f>IFERROR(VLOOKUP(A183,'[1]Master File'!$A$2:$C$312,3,0)," ")</f>
        <v>Nirosh Tharindu Madhusanka Thewage Don</v>
      </c>
      <c r="C183" s="2" t="s">
        <v>601</v>
      </c>
      <c r="D183" s="5">
        <v>45936</v>
      </c>
      <c r="E183" s="61">
        <v>45996</v>
      </c>
      <c r="F183" s="1">
        <f t="shared" si="32"/>
        <v>61</v>
      </c>
      <c r="G183" s="37">
        <v>45997</v>
      </c>
      <c r="I183" s="38" t="str">
        <f t="shared" ca="1" si="33"/>
        <v>Rejoined</v>
      </c>
      <c r="N183" s="38" t="str">
        <f t="shared" ca="1" si="34"/>
        <v/>
      </c>
      <c r="O183" s="11" t="str">
        <f t="shared" si="35"/>
        <v/>
      </c>
    </row>
    <row r="184" spans="1:15" ht="15.6" x14ac:dyDescent="0.3">
      <c r="A184" s="2">
        <v>1944</v>
      </c>
      <c r="B184" s="1" t="str">
        <f>IFERROR(VLOOKUP(A184,'[1]Master File'!$A$2:$C$312,3,0)," ")</f>
        <v>Kamlesh Kumar Chaudhary</v>
      </c>
      <c r="C184" s="5" t="s">
        <v>15</v>
      </c>
      <c r="D184" s="5">
        <v>45950</v>
      </c>
      <c r="E184" s="61">
        <v>46011</v>
      </c>
      <c r="F184" s="1">
        <f t="shared" si="32"/>
        <v>62</v>
      </c>
      <c r="G184" s="37">
        <v>46018</v>
      </c>
      <c r="I184" s="38" t="str">
        <f t="shared" ca="1" si="33"/>
        <v>Rejoined</v>
      </c>
      <c r="N184" s="38" t="str">
        <f t="shared" ca="1" si="34"/>
        <v/>
      </c>
      <c r="O184" s="11">
        <f t="shared" si="35"/>
        <v>7</v>
      </c>
    </row>
    <row r="185" spans="1:15" ht="15.6" x14ac:dyDescent="0.3">
      <c r="A185" s="2">
        <v>1867</v>
      </c>
      <c r="B185" s="1" t="str">
        <f>IFERROR(VLOOKUP(A185,'[1]Master File'!$A$2:$C$312,3,0)," ")</f>
        <v>Hassan Bilal Abdul Sattar</v>
      </c>
      <c r="C185" s="2" t="s">
        <v>15</v>
      </c>
      <c r="D185" s="5">
        <v>45922</v>
      </c>
      <c r="E185" s="61">
        <v>45971</v>
      </c>
      <c r="F185" s="1">
        <f t="shared" si="32"/>
        <v>50</v>
      </c>
      <c r="G185" s="37">
        <v>45991</v>
      </c>
      <c r="I185" s="38" t="str">
        <f t="shared" ca="1" si="33"/>
        <v>Rejoined</v>
      </c>
      <c r="N185" s="38" t="str">
        <f t="shared" ca="1" si="34"/>
        <v/>
      </c>
      <c r="O185" s="11">
        <f t="shared" si="35"/>
        <v>20</v>
      </c>
    </row>
    <row r="186" spans="1:15" ht="15.6" x14ac:dyDescent="0.3">
      <c r="A186" s="2">
        <v>1090</v>
      </c>
      <c r="B186" s="1" t="str">
        <f>IFERROR(VLOOKUP(A186,'[1]Master File'!$A$2:$C$312,3,0)," ")</f>
        <v>Ashraful Alam Jalil Sheikh</v>
      </c>
      <c r="C186" s="2" t="s">
        <v>601</v>
      </c>
      <c r="D186" s="5">
        <v>45988</v>
      </c>
      <c r="E186" s="61">
        <v>46049</v>
      </c>
      <c r="F186" s="1">
        <f t="shared" si="32"/>
        <v>62</v>
      </c>
      <c r="G186" s="37">
        <v>46055</v>
      </c>
      <c r="I186" s="38" t="str">
        <f t="shared" ca="1" si="33"/>
        <v>Rejoined</v>
      </c>
      <c r="N186" s="38" t="str">
        <f t="shared" ca="1" si="34"/>
        <v/>
      </c>
      <c r="O186" s="11">
        <f t="shared" si="35"/>
        <v>6</v>
      </c>
    </row>
    <row r="187" spans="1:15" ht="15.6" x14ac:dyDescent="0.3">
      <c r="A187" s="2">
        <v>2407</v>
      </c>
      <c r="B187" s="1" t="str">
        <f>IFERROR(VLOOKUP(A187,'[1]Master File'!$A$2:$C$312,3,0)," ")</f>
        <v>Radhakrishnan Ramankutty</v>
      </c>
      <c r="C187" s="5" t="s">
        <v>601</v>
      </c>
      <c r="D187" s="5">
        <v>45894</v>
      </c>
      <c r="E187" s="61">
        <v>45923</v>
      </c>
      <c r="F187" s="1">
        <f t="shared" si="32"/>
        <v>30</v>
      </c>
      <c r="G187" s="37">
        <v>45924</v>
      </c>
      <c r="I187" s="38" t="str">
        <f t="shared" ca="1" si="33"/>
        <v>Rejoined</v>
      </c>
      <c r="N187" s="38" t="str">
        <f t="shared" ca="1" si="34"/>
        <v/>
      </c>
      <c r="O187" s="11" t="str">
        <f t="shared" si="35"/>
        <v/>
      </c>
    </row>
    <row r="188" spans="1:15" ht="15.6" x14ac:dyDescent="0.3">
      <c r="A188" s="2">
        <v>2696</v>
      </c>
      <c r="B188" s="1" t="str">
        <f>IFERROR(VLOOKUP(A188,'[1]Master File'!$A$2:$C$312,3,0)," ")</f>
        <v>Mohd Abran Arif</v>
      </c>
      <c r="C188" s="2" t="s">
        <v>15</v>
      </c>
      <c r="D188" s="5">
        <v>45957</v>
      </c>
      <c r="E188" s="61">
        <v>45986</v>
      </c>
      <c r="F188" s="1">
        <f t="shared" si="32"/>
        <v>30</v>
      </c>
      <c r="G188" s="37">
        <v>45989</v>
      </c>
      <c r="I188" s="38" t="str">
        <f t="shared" ca="1" si="33"/>
        <v>Rejoined</v>
      </c>
      <c r="N188" s="38" t="str">
        <f t="shared" ca="1" si="34"/>
        <v/>
      </c>
      <c r="O188" s="11">
        <f t="shared" si="35"/>
        <v>3</v>
      </c>
    </row>
    <row r="189" spans="1:15" ht="15.6" x14ac:dyDescent="0.3">
      <c r="A189" s="2">
        <v>2027</v>
      </c>
      <c r="B189" s="1" t="str">
        <f>IFERROR(VLOOKUP(A189,'[1]Master File'!$A$2:$C$312,3,0)," ")</f>
        <v>Rahumathulla Mohamed Naseer</v>
      </c>
      <c r="C189" s="2" t="s">
        <v>15</v>
      </c>
      <c r="D189" s="5">
        <v>45936</v>
      </c>
      <c r="E189" s="61">
        <v>45946</v>
      </c>
      <c r="F189" s="1">
        <f t="shared" si="32"/>
        <v>11</v>
      </c>
      <c r="G189" s="37">
        <v>45947</v>
      </c>
      <c r="I189" s="38" t="str">
        <f t="shared" ca="1" si="33"/>
        <v>Rejoined</v>
      </c>
      <c r="N189" s="38" t="str">
        <f t="shared" ca="1" si="34"/>
        <v/>
      </c>
      <c r="O189" s="11" t="str">
        <f t="shared" si="35"/>
        <v/>
      </c>
    </row>
    <row r="190" spans="1:15" ht="15.6" x14ac:dyDescent="0.3">
      <c r="A190" s="2">
        <v>2638</v>
      </c>
      <c r="B190" s="1" t="str">
        <f>IFERROR(VLOOKUP(A190,'[1]Master File'!$A$2:$C$312,3,0)," ")</f>
        <v>Muhammad Saad Tanveer</v>
      </c>
      <c r="C190" s="2" t="s">
        <v>13</v>
      </c>
      <c r="D190" s="5">
        <v>45950</v>
      </c>
      <c r="E190" s="61">
        <v>45967</v>
      </c>
      <c r="F190" s="1">
        <f t="shared" si="32"/>
        <v>18</v>
      </c>
      <c r="G190" s="37">
        <v>45968</v>
      </c>
      <c r="I190" s="38" t="str">
        <f t="shared" ca="1" si="33"/>
        <v>Rejoined</v>
      </c>
      <c r="N190" s="38" t="str">
        <f t="shared" ca="1" si="34"/>
        <v/>
      </c>
      <c r="O190" s="11" t="str">
        <f t="shared" si="35"/>
        <v/>
      </c>
    </row>
    <row r="191" spans="1:15" ht="15.6" x14ac:dyDescent="0.3">
      <c r="A191" s="2">
        <v>2486</v>
      </c>
      <c r="B191" s="1" t="str">
        <f>IFERROR(VLOOKUP(A191,'[1]Master File'!$A$2:$C$312,3,0)," ")</f>
        <v xml:space="preserve">Maaz Ahmed </v>
      </c>
      <c r="C191" s="2" t="s">
        <v>15</v>
      </c>
      <c r="D191" s="5">
        <v>45958</v>
      </c>
      <c r="E191" s="61">
        <v>45977</v>
      </c>
      <c r="F191" s="1">
        <f t="shared" si="32"/>
        <v>20</v>
      </c>
      <c r="G191" s="37">
        <v>45978</v>
      </c>
      <c r="I191" s="38" t="str">
        <f t="shared" ca="1" si="33"/>
        <v>Rejoined</v>
      </c>
      <c r="N191" s="38" t="str">
        <f t="shared" ca="1" si="34"/>
        <v/>
      </c>
      <c r="O191" s="11" t="str">
        <f t="shared" si="35"/>
        <v/>
      </c>
    </row>
    <row r="192" spans="1:15" ht="15.6" x14ac:dyDescent="0.3">
      <c r="A192" s="2">
        <v>41</v>
      </c>
      <c r="B192" s="1" t="str">
        <f>IFERROR(VLOOKUP(A192,'[1]Master File'!$A$2:$C$312,3,0)," ")</f>
        <v>Babuu Ansar Ali</v>
      </c>
      <c r="C192" s="2" t="s">
        <v>15</v>
      </c>
      <c r="D192" s="5">
        <v>45988</v>
      </c>
      <c r="E192" s="61">
        <v>46047</v>
      </c>
      <c r="F192" s="1">
        <f t="shared" si="32"/>
        <v>60</v>
      </c>
      <c r="G192" s="37">
        <v>46055</v>
      </c>
      <c r="I192" s="38" t="str">
        <f t="shared" ca="1" si="33"/>
        <v>Rejoined</v>
      </c>
      <c r="N192" s="38" t="str">
        <f t="shared" ca="1" si="34"/>
        <v/>
      </c>
      <c r="O192" s="11">
        <f t="shared" si="35"/>
        <v>8</v>
      </c>
    </row>
    <row r="193" spans="1:15" ht="15.6" x14ac:dyDescent="0.3">
      <c r="A193" s="2">
        <v>1544</v>
      </c>
      <c r="B193" s="1" t="str">
        <f>IFERROR(VLOOKUP(A193,'[1]Master File'!$A$2:$C$312,3,0)," ")</f>
        <v>Sanjay Kumar Kamala Prasad</v>
      </c>
      <c r="C193" s="2" t="s">
        <v>601</v>
      </c>
      <c r="D193" s="5">
        <v>45971</v>
      </c>
      <c r="E193" s="61">
        <v>46030</v>
      </c>
      <c r="F193" s="1">
        <f t="shared" si="32"/>
        <v>60</v>
      </c>
      <c r="G193" s="37">
        <v>46041</v>
      </c>
      <c r="I193" s="38" t="str">
        <f t="shared" ca="1" si="33"/>
        <v>Rejoined</v>
      </c>
      <c r="N193" s="38" t="str">
        <f t="shared" ca="1" si="34"/>
        <v/>
      </c>
      <c r="O193" s="11">
        <f t="shared" si="35"/>
        <v>11</v>
      </c>
    </row>
    <row r="194" spans="1:15" ht="15.6" x14ac:dyDescent="0.3">
      <c r="A194" s="40">
        <v>2318</v>
      </c>
      <c r="B194" s="36" t="str">
        <f>IFERROR(VLOOKUP(A194,'[1]Master File'!$A$2:$C$312,3,0)," ")</f>
        <v>Salim Akhter Khan</v>
      </c>
      <c r="C194" s="40" t="s">
        <v>19</v>
      </c>
      <c r="D194" s="41">
        <v>45992</v>
      </c>
      <c r="E194" s="62">
        <v>46021</v>
      </c>
      <c r="F194" s="1">
        <f t="shared" si="32"/>
        <v>30</v>
      </c>
      <c r="G194" s="37">
        <v>46023</v>
      </c>
      <c r="I194" s="38" t="str">
        <f t="shared" ca="1" si="33"/>
        <v>Rejoined</v>
      </c>
      <c r="N194" s="38" t="str">
        <f t="shared" ca="1" si="34"/>
        <v/>
      </c>
      <c r="O194" s="39">
        <f t="shared" si="35"/>
        <v>2</v>
      </c>
    </row>
    <row r="195" spans="1:15" ht="15.6" x14ac:dyDescent="0.3">
      <c r="A195" s="40">
        <v>2606</v>
      </c>
      <c r="B195" s="36" t="str">
        <f>IFERROR(VLOOKUP(A195,'[1]Master File'!$A$2:$C$312,3,0)," ")</f>
        <v>Umair Ali Khan</v>
      </c>
      <c r="C195" s="40" t="s">
        <v>15</v>
      </c>
      <c r="D195" s="41">
        <v>45936</v>
      </c>
      <c r="E195" s="62">
        <v>45949</v>
      </c>
      <c r="F195" s="36">
        <f t="shared" ref="F195:F202" si="36">IF(OR(D195="",E195 =""), "", E195 - D195+ 1)</f>
        <v>14</v>
      </c>
      <c r="G195" s="37">
        <v>45950</v>
      </c>
      <c r="I195" s="38" t="str">
        <f t="shared" ref="I195:I202" ca="1" si="37">IF(AND(G195="", E195="", D195=""), "", IF(D195&gt;TODAY(), "Applied", IF(G195&lt;&gt;"", IF(G195&lt;E195, "Early Rejoin", "Rejoined"), IF(E195&gt;TODAY(), "On Leave", "Not Rejoined"))))</f>
        <v>Rejoined</v>
      </c>
      <c r="N195" s="38" t="str">
        <f t="shared" ref="N195:N202" ca="1" si="38">IF(AND(E195&lt;&gt;"", E195&gt;=TODAY(), E195&lt;=TODAY()+3), "Rejoin Follow Up", "")</f>
        <v/>
      </c>
      <c r="O195" s="39" t="str">
        <f t="shared" ref="O195:O202" si="39">IF(AND(G195&lt;&gt;"", G195 &gt; E195, (G195 - E195) &lt;&gt; 1), G195 - E195, "")</f>
        <v/>
      </c>
    </row>
    <row r="196" spans="1:15" ht="15.6" x14ac:dyDescent="0.3">
      <c r="A196" s="40">
        <v>2078</v>
      </c>
      <c r="B196" s="36" t="str">
        <f>IFERROR(VLOOKUP(A196,'[1]Master File'!$A$2:$C$312,3,0)," ")</f>
        <v>Jabeena Ponmanichi Baboo</v>
      </c>
      <c r="C196" s="40" t="s">
        <v>608</v>
      </c>
      <c r="D196" s="41">
        <v>45950</v>
      </c>
      <c r="E196" s="62">
        <v>45960</v>
      </c>
      <c r="F196" s="36">
        <f t="shared" si="36"/>
        <v>11</v>
      </c>
      <c r="G196" s="37">
        <v>45961</v>
      </c>
      <c r="I196" s="38" t="str">
        <f t="shared" ca="1" si="37"/>
        <v>Rejoined</v>
      </c>
      <c r="N196" s="38" t="str">
        <f t="shared" ca="1" si="38"/>
        <v/>
      </c>
      <c r="O196" s="39" t="str">
        <f t="shared" si="39"/>
        <v/>
      </c>
    </row>
    <row r="197" spans="1:15" ht="15.6" x14ac:dyDescent="0.3">
      <c r="A197" s="40">
        <v>1605</v>
      </c>
      <c r="B197" s="36" t="str">
        <f>IFERROR(VLOOKUP(A197,'[1]Master File'!$A$2:$C$312,3,0)," ")</f>
        <v>Manoj Indika Kelum Mahingoda Mahingoda Naidelage</v>
      </c>
      <c r="C197" s="40" t="s">
        <v>601</v>
      </c>
      <c r="D197" s="41">
        <v>45936</v>
      </c>
      <c r="E197" s="62">
        <v>45995</v>
      </c>
      <c r="F197" s="36">
        <f t="shared" si="36"/>
        <v>60</v>
      </c>
      <c r="G197" s="37">
        <v>45996</v>
      </c>
      <c r="I197" s="38" t="str">
        <f t="shared" ca="1" si="37"/>
        <v>Rejoined</v>
      </c>
      <c r="N197" s="38" t="str">
        <f t="shared" ca="1" si="38"/>
        <v/>
      </c>
      <c r="O197" s="39" t="str">
        <f t="shared" si="39"/>
        <v/>
      </c>
    </row>
    <row r="198" spans="1:15" ht="15.6" x14ac:dyDescent="0.3">
      <c r="A198" s="40">
        <v>2816</v>
      </c>
      <c r="B198" s="36" t="s">
        <v>567</v>
      </c>
      <c r="C198" s="40" t="s">
        <v>603</v>
      </c>
      <c r="D198" s="41">
        <v>45939</v>
      </c>
      <c r="E198" s="62">
        <v>45943</v>
      </c>
      <c r="F198" s="36">
        <f t="shared" si="36"/>
        <v>5</v>
      </c>
      <c r="G198" s="37">
        <v>45944</v>
      </c>
      <c r="I198" s="38" t="str">
        <f t="shared" ca="1" si="37"/>
        <v>Rejoined</v>
      </c>
      <c r="N198" s="38" t="str">
        <f t="shared" ca="1" si="38"/>
        <v/>
      </c>
      <c r="O198" s="39" t="str">
        <f t="shared" si="39"/>
        <v/>
      </c>
    </row>
    <row r="199" spans="1:15" ht="15.6" x14ac:dyDescent="0.3">
      <c r="A199" s="40">
        <v>1856</v>
      </c>
      <c r="B199" s="36" t="str">
        <f>IFERROR(VLOOKUP(A199,'[1]Master File'!$A$2:$C$312,3,0)," ")</f>
        <v>Kumar Gautam Kamal Kishore Prasad</v>
      </c>
      <c r="C199" s="40" t="s">
        <v>15</v>
      </c>
      <c r="D199" s="41">
        <v>45931</v>
      </c>
      <c r="E199" s="62">
        <v>45933</v>
      </c>
      <c r="F199" s="36">
        <f t="shared" si="36"/>
        <v>3</v>
      </c>
      <c r="G199" s="37">
        <v>45934</v>
      </c>
      <c r="I199" s="38" t="str">
        <f t="shared" ca="1" si="37"/>
        <v>Rejoined</v>
      </c>
      <c r="N199" s="38" t="str">
        <f t="shared" ca="1" si="38"/>
        <v/>
      </c>
      <c r="O199" s="39" t="str">
        <f t="shared" si="39"/>
        <v/>
      </c>
    </row>
    <row r="200" spans="1:15" ht="15.6" x14ac:dyDescent="0.3">
      <c r="A200" s="40">
        <v>1263</v>
      </c>
      <c r="B200" s="36" t="str">
        <f>IFERROR(VLOOKUP(A200,'[1]Master File'!$A$2:$C$312,3,0)," ")</f>
        <v>Unni Chuttakatt</v>
      </c>
      <c r="C200" s="40" t="s">
        <v>610</v>
      </c>
      <c r="D200" s="41">
        <v>45950</v>
      </c>
      <c r="E200" s="62">
        <v>45960</v>
      </c>
      <c r="F200" s="36">
        <f t="shared" si="36"/>
        <v>11</v>
      </c>
      <c r="G200" s="37">
        <v>45961</v>
      </c>
      <c r="I200" s="38" t="str">
        <f t="shared" ca="1" si="37"/>
        <v>Rejoined</v>
      </c>
      <c r="N200" s="38" t="str">
        <f t="shared" ca="1" si="38"/>
        <v/>
      </c>
      <c r="O200" s="39" t="str">
        <f t="shared" si="39"/>
        <v/>
      </c>
    </row>
    <row r="201" spans="1:15" ht="15.6" x14ac:dyDescent="0.3">
      <c r="A201" s="40">
        <v>1220</v>
      </c>
      <c r="B201" s="36" t="str">
        <f>IFERROR(VLOOKUP(A201,'[1]Master File'!$A$2:$C$312,3,0)," ")</f>
        <v>Tufail Khan Kamin Shah</v>
      </c>
      <c r="C201" s="40" t="s">
        <v>601</v>
      </c>
      <c r="D201" s="41">
        <v>45978</v>
      </c>
      <c r="E201" s="62">
        <v>46037</v>
      </c>
      <c r="F201" s="36">
        <f t="shared" si="36"/>
        <v>60</v>
      </c>
      <c r="G201" s="37">
        <v>46070</v>
      </c>
      <c r="I201" s="38" t="str">
        <f t="shared" ca="1" si="37"/>
        <v>Rejoined</v>
      </c>
      <c r="N201" s="38" t="str">
        <f t="shared" ca="1" si="38"/>
        <v/>
      </c>
      <c r="O201" s="39">
        <f t="shared" si="39"/>
        <v>33</v>
      </c>
    </row>
    <row r="202" spans="1:15" ht="15.6" x14ac:dyDescent="0.3">
      <c r="A202" s="40">
        <v>2120</v>
      </c>
      <c r="B202" s="36" t="str">
        <f>IFERROR(VLOOKUP(A202,'[1]Master File'!$A$2:$C$312,3,0)," ")</f>
        <v>Siraj Ahmad</v>
      </c>
      <c r="C202" s="41" t="s">
        <v>15</v>
      </c>
      <c r="D202" s="41">
        <v>45963</v>
      </c>
      <c r="E202" s="62">
        <v>45992</v>
      </c>
      <c r="F202" s="36">
        <f t="shared" si="36"/>
        <v>30</v>
      </c>
      <c r="G202" s="37">
        <v>45995</v>
      </c>
      <c r="I202" s="38" t="str">
        <f t="shared" ca="1" si="37"/>
        <v>Rejoined</v>
      </c>
      <c r="N202" s="38" t="str">
        <f t="shared" ca="1" si="38"/>
        <v/>
      </c>
      <c r="O202" s="39">
        <f t="shared" si="39"/>
        <v>3</v>
      </c>
    </row>
    <row r="203" spans="1:15" ht="15.6" x14ac:dyDescent="0.3">
      <c r="A203" s="40">
        <v>2712</v>
      </c>
      <c r="B203" s="36" t="str">
        <f>IFERROR(VLOOKUP(A203,'[1]Master File'!$A$2:$C$312,3,0)," ")</f>
        <v>Imaad Ali Khan</v>
      </c>
      <c r="C203" s="41" t="s">
        <v>13</v>
      </c>
      <c r="D203" s="41">
        <v>45935</v>
      </c>
      <c r="E203" s="62">
        <v>45957</v>
      </c>
      <c r="F203" s="36">
        <f t="shared" ref="F203:F210" si="40">IF(OR(D203="",E203 =""), "", E203 - D203+ 1)</f>
        <v>23</v>
      </c>
      <c r="G203" s="37">
        <v>45958</v>
      </c>
      <c r="I203" s="38" t="str">
        <f t="shared" ref="I203:I210" ca="1" si="41">IF(AND(G203="", E203="", D203=""), "", IF(D203&gt;TODAY(), "Applied", IF(G203&lt;&gt;"", IF(G203&lt;E203, "Early Rejoin", "Rejoined"), IF(E203&gt;TODAY(), "On Leave", "Not Rejoined"))))</f>
        <v>Rejoined</v>
      </c>
      <c r="N203" s="38" t="str">
        <f t="shared" ref="N203:N210" ca="1" si="42">IF(AND(E203&lt;&gt;"", E203&gt;=TODAY(), E203&lt;=TODAY()+3), "Rejoin Follow Up", "")</f>
        <v/>
      </c>
      <c r="O203" s="39" t="str">
        <f t="shared" ref="O203:O210" si="43">IF(AND(G203&lt;&gt;"", G203 &gt; E203, (G203 - E203) &lt;&gt; 1), G203 - E203, "")</f>
        <v/>
      </c>
    </row>
    <row r="204" spans="1:15" ht="15.6" x14ac:dyDescent="0.3">
      <c r="A204" s="40">
        <v>2635</v>
      </c>
      <c r="B204" s="36" t="str">
        <f>IFERROR(VLOOKUP(A204,'[1]Master File'!$A$2:$C$312,3,0)," ")</f>
        <v>Muhamed Minhaj Nayarkandy</v>
      </c>
      <c r="C204" s="41" t="s">
        <v>611</v>
      </c>
      <c r="D204" s="41">
        <v>46006</v>
      </c>
      <c r="E204" s="62">
        <v>46031</v>
      </c>
      <c r="F204" s="36">
        <f t="shared" si="40"/>
        <v>26</v>
      </c>
      <c r="G204" s="37">
        <v>46032</v>
      </c>
      <c r="I204" s="38" t="str">
        <f t="shared" ca="1" si="41"/>
        <v>Rejoined</v>
      </c>
      <c r="N204" s="38" t="str">
        <f t="shared" ca="1" si="42"/>
        <v/>
      </c>
      <c r="O204" s="39" t="str">
        <f t="shared" si="43"/>
        <v/>
      </c>
    </row>
    <row r="205" spans="1:15" ht="15.6" x14ac:dyDescent="0.3">
      <c r="A205" s="40">
        <v>602</v>
      </c>
      <c r="B205" s="36" t="str">
        <f>IFERROR(VLOOKUP(A205,'[1]Master File'!$A$2:$C$312,3,0)," ")</f>
        <v>Alaim Md Motalab</v>
      </c>
      <c r="C205" s="41" t="s">
        <v>13</v>
      </c>
      <c r="D205" s="41">
        <v>45901</v>
      </c>
      <c r="E205" s="62">
        <v>45964</v>
      </c>
      <c r="F205" s="36">
        <f t="shared" si="40"/>
        <v>64</v>
      </c>
      <c r="G205" s="37">
        <v>45965</v>
      </c>
      <c r="I205" s="38" t="str">
        <f t="shared" ca="1" si="41"/>
        <v>Rejoined</v>
      </c>
      <c r="N205" s="38" t="str">
        <f t="shared" ca="1" si="42"/>
        <v/>
      </c>
      <c r="O205" s="39" t="str">
        <f t="shared" si="43"/>
        <v/>
      </c>
    </row>
    <row r="206" spans="1:15" ht="15.6" x14ac:dyDescent="0.3">
      <c r="A206" s="40">
        <v>483</v>
      </c>
      <c r="B206" s="36" t="str">
        <f>IFERROR(VLOOKUP(A206,'[1]Master File'!$A$2:$C$312,3,0)," ")</f>
        <v>Khairul Hasan Bhuiyan Md Abdur Rashid Bhuiyan</v>
      </c>
      <c r="C206" s="41" t="s">
        <v>14</v>
      </c>
      <c r="D206" s="41">
        <v>45966</v>
      </c>
      <c r="E206" s="62">
        <v>45980</v>
      </c>
      <c r="F206" s="36">
        <f t="shared" si="40"/>
        <v>15</v>
      </c>
      <c r="G206" s="37">
        <v>46001</v>
      </c>
      <c r="I206" s="38" t="str">
        <f t="shared" ca="1" si="41"/>
        <v>Rejoined</v>
      </c>
      <c r="N206" s="38" t="str">
        <f t="shared" ca="1" si="42"/>
        <v/>
      </c>
      <c r="O206" s="39">
        <f t="shared" si="43"/>
        <v>21</v>
      </c>
    </row>
    <row r="207" spans="1:15" ht="15.6" x14ac:dyDescent="0.3">
      <c r="A207" s="40">
        <v>2636</v>
      </c>
      <c r="B207" s="36" t="str">
        <f>IFERROR(VLOOKUP(A207,'[1]Master File'!$A$2:$C$312,3,0)," ")</f>
        <v>Sanjoga Thapa</v>
      </c>
      <c r="C207" s="41" t="s">
        <v>13</v>
      </c>
      <c r="D207" s="41">
        <v>45939</v>
      </c>
      <c r="E207" s="62">
        <v>45968</v>
      </c>
      <c r="F207" s="36">
        <f t="shared" si="40"/>
        <v>30</v>
      </c>
      <c r="G207" s="37">
        <v>45969</v>
      </c>
      <c r="I207" s="38" t="str">
        <f t="shared" ca="1" si="41"/>
        <v>Rejoined</v>
      </c>
      <c r="N207" s="38" t="str">
        <f t="shared" ca="1" si="42"/>
        <v/>
      </c>
      <c r="O207" s="39" t="str">
        <f t="shared" si="43"/>
        <v/>
      </c>
    </row>
    <row r="208" spans="1:15" ht="15.6" x14ac:dyDescent="0.3">
      <c r="A208" s="40">
        <v>2596</v>
      </c>
      <c r="B208" s="36" t="str">
        <f>IFERROR(VLOOKUP(A208,'[1]Master File'!$A$2:$C$312,3,0)," ")</f>
        <v>Sahid Ahamad</v>
      </c>
      <c r="C208" s="41" t="s">
        <v>14</v>
      </c>
      <c r="D208" s="41">
        <v>45970</v>
      </c>
      <c r="E208" s="62">
        <v>45986</v>
      </c>
      <c r="F208" s="36">
        <f t="shared" si="40"/>
        <v>17</v>
      </c>
      <c r="G208" s="37">
        <v>46071</v>
      </c>
      <c r="I208" s="38" t="str">
        <f t="shared" ca="1" si="41"/>
        <v>Rejoined</v>
      </c>
      <c r="N208" s="38" t="str">
        <f t="shared" ca="1" si="42"/>
        <v/>
      </c>
      <c r="O208" s="39">
        <f t="shared" si="43"/>
        <v>85</v>
      </c>
    </row>
    <row r="209" spans="1:15" ht="15.6" x14ac:dyDescent="0.3">
      <c r="A209" s="40">
        <v>2692</v>
      </c>
      <c r="B209" s="36" t="str">
        <f>IFERROR(VLOOKUP(A209,'[1]Master File'!$A$2:$C$312,3,0)," ")</f>
        <v>Imran Ali</v>
      </c>
      <c r="C209" s="41" t="s">
        <v>22</v>
      </c>
      <c r="D209" s="41">
        <v>45992</v>
      </c>
      <c r="E209" s="62">
        <v>45995</v>
      </c>
      <c r="F209" s="36">
        <f t="shared" si="40"/>
        <v>4</v>
      </c>
      <c r="G209" s="37">
        <v>45996</v>
      </c>
      <c r="I209" s="38" t="str">
        <f t="shared" ca="1" si="41"/>
        <v>Rejoined</v>
      </c>
      <c r="N209" s="38" t="str">
        <f t="shared" ca="1" si="42"/>
        <v/>
      </c>
      <c r="O209" s="39" t="str">
        <f t="shared" si="43"/>
        <v/>
      </c>
    </row>
    <row r="210" spans="1:15" ht="15.6" x14ac:dyDescent="0.3">
      <c r="A210" s="40">
        <v>234</v>
      </c>
      <c r="B210" s="36" t="str">
        <f>IFERROR(VLOOKUP(A210,'[1]Master File'!$A$2:$C$312,3,0)," ")</f>
        <v>Saidur Abdul Samad</v>
      </c>
      <c r="C210" s="41" t="s">
        <v>601</v>
      </c>
      <c r="D210" s="41">
        <v>45968</v>
      </c>
      <c r="E210" s="62">
        <v>46028</v>
      </c>
      <c r="F210" s="36">
        <f t="shared" si="40"/>
        <v>61</v>
      </c>
      <c r="G210" s="37">
        <v>46059</v>
      </c>
      <c r="I210" s="38" t="str">
        <f t="shared" ca="1" si="41"/>
        <v>Rejoined</v>
      </c>
      <c r="N210" s="38" t="str">
        <f t="shared" ca="1" si="42"/>
        <v/>
      </c>
      <c r="O210" s="39">
        <f t="shared" si="43"/>
        <v>31</v>
      </c>
    </row>
    <row r="211" spans="1:15" ht="15.6" x14ac:dyDescent="0.3">
      <c r="A211" s="40">
        <v>2507</v>
      </c>
      <c r="B211" s="36" t="str">
        <f>IFERROR(VLOOKUP(A211,'[1]Master File'!$A$2:$C$312,3,0)," ")</f>
        <v>Umar Farooq</v>
      </c>
      <c r="C211" s="41" t="s">
        <v>14</v>
      </c>
      <c r="D211" s="41">
        <v>45968</v>
      </c>
      <c r="E211" s="62">
        <v>45977</v>
      </c>
      <c r="F211" s="36">
        <f t="shared" ref="F211:F246" si="44">IF(OR(D211="",E211 =""), "", E211 - D211+ 1)</f>
        <v>10</v>
      </c>
      <c r="G211" s="37">
        <v>45978</v>
      </c>
      <c r="I211" s="38" t="str">
        <f t="shared" ref="I211:I220" ca="1" si="45">IF(AND(G211="", E211="", D211=""), "", IF(D211&gt;TODAY(), "Applied", IF(G211&lt;&gt;"", IF(G211&lt;E211, "Early Rejoin", "Rejoined"), IF(E211&gt;TODAY(), "On Leave", "Not Rejoined"))))</f>
        <v>Rejoined</v>
      </c>
      <c r="N211" s="38" t="str">
        <f t="shared" ref="N211:N220" ca="1" si="46">IF(AND(E211&lt;&gt;"", E211&gt;=TODAY(), E211&lt;=TODAY()+3), "Rejoin Follow Up", "")</f>
        <v/>
      </c>
      <c r="O211" s="39" t="str">
        <f t="shared" ref="O211:O220" si="47">IF(AND(G211&lt;&gt;"", G211 &gt; E211, (G211 - E211) &lt;&gt; 1), G211 - E211, "")</f>
        <v/>
      </c>
    </row>
    <row r="212" spans="1:15" ht="15.6" x14ac:dyDescent="0.3">
      <c r="A212" s="40">
        <v>1315</v>
      </c>
      <c r="B212" s="36" t="str">
        <f>IFERROR(VLOOKUP(A212,'[1]Master File'!$A$2:$C$312,3,0)," ")</f>
        <v>Amarjeet Raja Ram</v>
      </c>
      <c r="C212" s="41" t="s">
        <v>601</v>
      </c>
      <c r="D212" s="41">
        <v>45971</v>
      </c>
      <c r="E212" s="62">
        <v>45996</v>
      </c>
      <c r="F212" s="36">
        <f t="shared" si="44"/>
        <v>26</v>
      </c>
      <c r="G212" s="37">
        <v>45997</v>
      </c>
      <c r="I212" s="38" t="str">
        <f t="shared" ca="1" si="45"/>
        <v>Rejoined</v>
      </c>
      <c r="N212" s="38" t="str">
        <f t="shared" ca="1" si="46"/>
        <v/>
      </c>
      <c r="O212" s="39" t="str">
        <f t="shared" si="47"/>
        <v/>
      </c>
    </row>
    <row r="213" spans="1:15" ht="15.6" x14ac:dyDescent="0.3">
      <c r="A213" s="40">
        <v>2736</v>
      </c>
      <c r="B213" s="36" t="s">
        <v>502</v>
      </c>
      <c r="C213" s="41" t="s">
        <v>611</v>
      </c>
      <c r="D213" s="41">
        <v>45978</v>
      </c>
      <c r="E213" s="62">
        <v>46009</v>
      </c>
      <c r="F213" s="36">
        <f t="shared" si="44"/>
        <v>32</v>
      </c>
      <c r="G213" s="37">
        <v>46010</v>
      </c>
      <c r="I213" s="38" t="str">
        <f t="shared" ca="1" si="45"/>
        <v>Rejoined</v>
      </c>
      <c r="N213" s="38" t="str">
        <f t="shared" ca="1" si="46"/>
        <v/>
      </c>
      <c r="O213" s="39" t="str">
        <f t="shared" si="47"/>
        <v/>
      </c>
    </row>
    <row r="214" spans="1:15" ht="15.6" x14ac:dyDescent="0.3">
      <c r="A214" s="40">
        <v>2727</v>
      </c>
      <c r="B214" s="36" t="str">
        <f>IFERROR(VLOOKUP(A214,'[1]Master File'!$A$2:$C$312,3,0)," ")</f>
        <v>Shais Tomy</v>
      </c>
      <c r="C214" s="41" t="s">
        <v>13</v>
      </c>
      <c r="D214" s="41">
        <v>46020</v>
      </c>
      <c r="E214" s="62">
        <v>46049</v>
      </c>
      <c r="F214" s="36">
        <f t="shared" si="44"/>
        <v>30</v>
      </c>
      <c r="G214" s="37">
        <v>46050</v>
      </c>
      <c r="I214" s="38" t="str">
        <f t="shared" ca="1" si="45"/>
        <v>Rejoined</v>
      </c>
      <c r="N214" s="38" t="str">
        <f t="shared" ca="1" si="46"/>
        <v/>
      </c>
      <c r="O214" s="39" t="str">
        <f t="shared" si="47"/>
        <v/>
      </c>
    </row>
    <row r="215" spans="1:15" ht="15.6" x14ac:dyDescent="0.3">
      <c r="A215" s="40">
        <v>2618</v>
      </c>
      <c r="B215" s="36" t="str">
        <f>IFERROR(VLOOKUP(A215,'[1]Master File'!$A$2:$C$312,3,0)," ")</f>
        <v>Atta Ur Rahman</v>
      </c>
      <c r="C215" s="41" t="s">
        <v>15</v>
      </c>
      <c r="D215" s="41">
        <v>45976</v>
      </c>
      <c r="E215" s="62">
        <v>46035</v>
      </c>
      <c r="F215" s="36">
        <f t="shared" si="44"/>
        <v>60</v>
      </c>
      <c r="G215" s="37">
        <v>46041</v>
      </c>
      <c r="I215" s="38" t="str">
        <f t="shared" ca="1" si="45"/>
        <v>Rejoined</v>
      </c>
      <c r="N215" s="38" t="str">
        <f t="shared" ca="1" si="46"/>
        <v/>
      </c>
      <c r="O215" s="39">
        <f t="shared" si="47"/>
        <v>6</v>
      </c>
    </row>
    <row r="216" spans="1:15" ht="15.6" x14ac:dyDescent="0.3">
      <c r="A216" s="40">
        <v>2628</v>
      </c>
      <c r="B216" s="36" t="str">
        <f>IFERROR(VLOOKUP(A216,'[1]Master File'!$A$2:$C$312,3,0)," ")</f>
        <v>Sona Kizhakudan Prince</v>
      </c>
      <c r="C216" s="41" t="s">
        <v>19</v>
      </c>
      <c r="D216" s="41">
        <v>45995</v>
      </c>
      <c r="E216" s="62">
        <v>45996</v>
      </c>
      <c r="F216" s="36">
        <f t="shared" si="44"/>
        <v>2</v>
      </c>
      <c r="G216" s="37">
        <v>45997</v>
      </c>
      <c r="I216" s="38" t="str">
        <f t="shared" ca="1" si="45"/>
        <v>Rejoined</v>
      </c>
      <c r="N216" s="38" t="str">
        <f t="shared" ca="1" si="46"/>
        <v/>
      </c>
      <c r="O216" s="39" t="str">
        <f t="shared" si="47"/>
        <v/>
      </c>
    </row>
    <row r="217" spans="1:15" ht="15.6" x14ac:dyDescent="0.3">
      <c r="A217" s="40">
        <v>2538</v>
      </c>
      <c r="B217" s="36" t="str">
        <f>IFERROR(VLOOKUP(A217,'[1]Master File'!$A$2:$C$312,3,0)," ")</f>
        <v>Rasel Iman Hossain</v>
      </c>
      <c r="C217" s="41" t="s">
        <v>14</v>
      </c>
      <c r="D217" s="41">
        <v>45979</v>
      </c>
      <c r="E217" s="62">
        <v>45989</v>
      </c>
      <c r="F217" s="36">
        <f t="shared" si="44"/>
        <v>11</v>
      </c>
      <c r="G217" s="37">
        <v>46038</v>
      </c>
      <c r="I217" s="38" t="str">
        <f t="shared" ca="1" si="45"/>
        <v>Rejoined</v>
      </c>
      <c r="N217" s="38" t="str">
        <f t="shared" ca="1" si="46"/>
        <v/>
      </c>
      <c r="O217" s="39">
        <f t="shared" si="47"/>
        <v>49</v>
      </c>
    </row>
    <row r="218" spans="1:15" ht="15.6" x14ac:dyDescent="0.3">
      <c r="A218" s="40">
        <v>2403</v>
      </c>
      <c r="B218" s="36" t="str">
        <f>IFERROR(VLOOKUP(A218,'[1]Master File'!$A$2:$C$312,3,0)," ")</f>
        <v>Pramodkumar Rajan</v>
      </c>
      <c r="C218" s="41" t="s">
        <v>14</v>
      </c>
      <c r="D218" s="41">
        <v>45969</v>
      </c>
      <c r="E218" s="62">
        <v>45981</v>
      </c>
      <c r="F218" s="36">
        <f t="shared" si="44"/>
        <v>13</v>
      </c>
      <c r="G218" s="37">
        <v>45982</v>
      </c>
      <c r="I218" s="38" t="str">
        <f t="shared" ca="1" si="45"/>
        <v>Rejoined</v>
      </c>
      <c r="N218" s="38" t="str">
        <f t="shared" ca="1" si="46"/>
        <v/>
      </c>
      <c r="O218" s="39" t="str">
        <f t="shared" si="47"/>
        <v/>
      </c>
    </row>
    <row r="219" spans="1:15" ht="15.6" x14ac:dyDescent="0.3">
      <c r="A219" s="40">
        <v>924</v>
      </c>
      <c r="B219" s="36" t="str">
        <f>IFERROR(VLOOKUP(A219,'[1]Master File'!$A$2:$C$312,3,0)," ")</f>
        <v>Chandrakant Bhaskarbhai Pawar</v>
      </c>
      <c r="C219" s="41" t="s">
        <v>13</v>
      </c>
      <c r="D219" s="41">
        <v>45987</v>
      </c>
      <c r="E219" s="62">
        <v>45994</v>
      </c>
      <c r="F219" s="36">
        <f t="shared" si="44"/>
        <v>8</v>
      </c>
      <c r="G219" s="37">
        <v>45995</v>
      </c>
      <c r="I219" s="38" t="str">
        <f t="shared" ca="1" si="45"/>
        <v>Rejoined</v>
      </c>
      <c r="N219" s="38" t="str">
        <f t="shared" ca="1" si="46"/>
        <v/>
      </c>
      <c r="O219" s="39" t="str">
        <f t="shared" si="47"/>
        <v/>
      </c>
    </row>
    <row r="220" spans="1:15" ht="15.6" x14ac:dyDescent="0.3">
      <c r="A220" s="40">
        <v>2231</v>
      </c>
      <c r="B220" s="36" t="str">
        <f>IFERROR(VLOOKUP(A220,'[1]Master File'!$A$2:$C$312,3,0)," ")</f>
        <v xml:space="preserve">Mohanad Tarek Ghziel </v>
      </c>
      <c r="C220" s="41" t="s">
        <v>13</v>
      </c>
      <c r="D220" s="41">
        <v>45999</v>
      </c>
      <c r="E220" s="62">
        <v>46024</v>
      </c>
      <c r="F220" s="36">
        <f t="shared" si="44"/>
        <v>26</v>
      </c>
      <c r="G220" s="37">
        <v>46025</v>
      </c>
      <c r="I220" s="38" t="str">
        <f t="shared" ca="1" si="45"/>
        <v>Rejoined</v>
      </c>
      <c r="N220" s="38" t="str">
        <f t="shared" ca="1" si="46"/>
        <v/>
      </c>
      <c r="O220" s="39" t="str">
        <f t="shared" si="47"/>
        <v/>
      </c>
    </row>
    <row r="221" spans="1:15" ht="15.6" x14ac:dyDescent="0.3">
      <c r="A221" s="40">
        <v>2760</v>
      </c>
      <c r="B221" s="36" t="s">
        <v>612</v>
      </c>
      <c r="C221" s="41" t="s">
        <v>13</v>
      </c>
      <c r="D221" s="41">
        <v>46044</v>
      </c>
      <c r="E221" s="62">
        <v>46074</v>
      </c>
      <c r="F221" s="36">
        <f t="shared" si="44"/>
        <v>31</v>
      </c>
      <c r="G221" s="37">
        <v>46075</v>
      </c>
      <c r="I221" s="38" t="str">
        <f t="shared" ref="I221:I232" ca="1" si="48">IF(AND(G221="", E221="", D221=""), "", IF(D221&gt;TODAY(), "Applied", IF(G221&lt;&gt;"", IF(G221&lt;E221, "Early Rejoin", "Rejoined"), IF(E221&gt;TODAY(), "On Leave", "Not Rejoined"))))</f>
        <v>Rejoined</v>
      </c>
      <c r="N221" s="38" t="str">
        <f t="shared" ref="N221:N232" ca="1" si="49">IF(AND(E221&lt;&gt;"", E221&gt;=TODAY(), E221&lt;=TODAY()+3), "Rejoin Follow Up", "")</f>
        <v/>
      </c>
      <c r="O221" s="39" t="str">
        <f t="shared" ref="O221:O232" si="50">IF(AND(G221&lt;&gt;"", G221 &gt; E221, (G221 - E221) &lt;&gt; 1), G221 - E221, "")</f>
        <v/>
      </c>
    </row>
    <row r="222" spans="1:15" ht="15.6" x14ac:dyDescent="0.3">
      <c r="A222" s="40">
        <v>2626</v>
      </c>
      <c r="B222" s="36" t="str">
        <f>IFERROR(VLOOKUP(A222,'[1]Master File'!$A$2:$C$312,3,0)," ")</f>
        <v>Sanjeev Dubey</v>
      </c>
      <c r="C222" s="41" t="s">
        <v>13</v>
      </c>
      <c r="D222" s="41">
        <v>46015</v>
      </c>
      <c r="E222" s="62">
        <v>46074</v>
      </c>
      <c r="F222" s="36">
        <f t="shared" si="44"/>
        <v>60</v>
      </c>
      <c r="G222" s="37"/>
      <c r="I222" s="38" t="str">
        <f t="shared" ca="1" si="48"/>
        <v>Not Rejoined</v>
      </c>
      <c r="N222" s="38" t="str">
        <f t="shared" ca="1" si="49"/>
        <v/>
      </c>
      <c r="O222" s="39" t="str">
        <f t="shared" si="50"/>
        <v/>
      </c>
    </row>
    <row r="223" spans="1:15" ht="15.6" x14ac:dyDescent="0.3">
      <c r="A223" s="40">
        <v>2565</v>
      </c>
      <c r="B223" s="36" t="str">
        <f>IFERROR(VLOOKUP(A223,'[1]Master File'!$A$2:$C$312,3,0)," ")</f>
        <v>Rajkumar Ganesan</v>
      </c>
      <c r="C223" s="41" t="s">
        <v>13</v>
      </c>
      <c r="D223" s="41">
        <v>46027</v>
      </c>
      <c r="E223" s="62">
        <v>46045</v>
      </c>
      <c r="F223" s="36">
        <f t="shared" si="44"/>
        <v>19</v>
      </c>
      <c r="G223" s="37">
        <v>46046</v>
      </c>
      <c r="I223" s="38" t="str">
        <f t="shared" ca="1" si="48"/>
        <v>Rejoined</v>
      </c>
      <c r="N223" s="38" t="str">
        <f t="shared" ca="1" si="49"/>
        <v/>
      </c>
      <c r="O223" s="39" t="str">
        <f t="shared" si="50"/>
        <v/>
      </c>
    </row>
    <row r="224" spans="1:15" ht="15.6" x14ac:dyDescent="0.3">
      <c r="A224" s="40">
        <v>2630</v>
      </c>
      <c r="B224" s="36" t="str">
        <f>IFERROR(VLOOKUP(A224,'[1]Master File'!$A$2:$C$312,3,0)," ")</f>
        <v>Mohammed Ishaq Reddy</v>
      </c>
      <c r="C224" s="41" t="s">
        <v>13</v>
      </c>
      <c r="D224" s="41">
        <v>46030</v>
      </c>
      <c r="E224" s="62">
        <v>46062</v>
      </c>
      <c r="F224" s="36">
        <f t="shared" si="44"/>
        <v>33</v>
      </c>
      <c r="G224" s="37">
        <v>46063</v>
      </c>
      <c r="I224" s="38" t="str">
        <f t="shared" ca="1" si="48"/>
        <v>Rejoined</v>
      </c>
      <c r="N224" s="38" t="str">
        <f t="shared" ca="1" si="49"/>
        <v/>
      </c>
      <c r="O224" s="39" t="str">
        <f t="shared" si="50"/>
        <v/>
      </c>
    </row>
    <row r="225" spans="1:16" ht="15.6" x14ac:dyDescent="0.3">
      <c r="A225" s="40">
        <v>67</v>
      </c>
      <c r="B225" s="36" t="str">
        <f>IFERROR(VLOOKUP(A225,'[1]Master File'!$A$2:$C$312,3,0)," ")</f>
        <v>Esoj Jose</v>
      </c>
      <c r="C225" s="41" t="s">
        <v>13</v>
      </c>
      <c r="D225" s="41">
        <v>45999</v>
      </c>
      <c r="E225" s="62">
        <v>46037</v>
      </c>
      <c r="F225" s="36">
        <f t="shared" si="44"/>
        <v>39</v>
      </c>
      <c r="G225" s="37">
        <v>46038</v>
      </c>
      <c r="I225" s="38" t="str">
        <f t="shared" ca="1" si="48"/>
        <v>Rejoined</v>
      </c>
      <c r="N225" s="38" t="str">
        <f t="shared" ca="1" si="49"/>
        <v/>
      </c>
      <c r="O225" s="39" t="str">
        <f t="shared" si="50"/>
        <v/>
      </c>
      <c r="P225" t="s">
        <v>622</v>
      </c>
    </row>
    <row r="226" spans="1:16" ht="15.6" x14ac:dyDescent="0.3">
      <c r="A226" s="40">
        <v>2481</v>
      </c>
      <c r="B226" s="36" t="str">
        <f>IFERROR(VLOOKUP(A226,'[1]Master File'!$A$2:$C$312,3,0)," ")</f>
        <v>Albin Kavil Joseph</v>
      </c>
      <c r="C226" s="41" t="s">
        <v>13</v>
      </c>
      <c r="D226" s="41">
        <v>46041</v>
      </c>
      <c r="E226" s="62">
        <v>46070</v>
      </c>
      <c r="F226" s="36">
        <f t="shared" si="44"/>
        <v>30</v>
      </c>
      <c r="G226" s="37">
        <v>46076</v>
      </c>
      <c r="I226" s="38" t="str">
        <f t="shared" ca="1" si="48"/>
        <v>Rejoined</v>
      </c>
      <c r="N226" s="38" t="str">
        <f t="shared" ca="1" si="49"/>
        <v/>
      </c>
      <c r="O226" s="39">
        <f t="shared" si="50"/>
        <v>6</v>
      </c>
    </row>
    <row r="227" spans="1:16" ht="15.6" x14ac:dyDescent="0.3">
      <c r="A227" s="40">
        <v>2613</v>
      </c>
      <c r="B227" s="36" t="str">
        <f>IFERROR(VLOOKUP(A227,'[1]Master File'!$A$2:$C$312,3,0)," ")</f>
        <v>Amrish Pandey</v>
      </c>
      <c r="C227" s="41" t="s">
        <v>13</v>
      </c>
      <c r="D227" s="41">
        <v>45997</v>
      </c>
      <c r="E227" s="62">
        <v>46060</v>
      </c>
      <c r="F227" s="36">
        <f t="shared" si="44"/>
        <v>64</v>
      </c>
      <c r="G227" s="37"/>
      <c r="I227" s="38" t="str">
        <f t="shared" ca="1" si="48"/>
        <v>Not Rejoined</v>
      </c>
      <c r="N227" s="38" t="str">
        <f t="shared" ca="1" si="49"/>
        <v/>
      </c>
      <c r="O227" s="39" t="str">
        <f t="shared" si="50"/>
        <v/>
      </c>
    </row>
    <row r="228" spans="1:16" ht="15.6" x14ac:dyDescent="0.3">
      <c r="A228" s="40">
        <v>14</v>
      </c>
      <c r="B228" s="36" t="str">
        <f>IFERROR(VLOOKUP(A228,'[1]Master File'!$A$2:$C$312,3,0)," ")</f>
        <v>Afroz Ali Khan Khan</v>
      </c>
      <c r="C228" s="41" t="s">
        <v>13</v>
      </c>
      <c r="D228" s="41">
        <v>46029</v>
      </c>
      <c r="E228" s="62">
        <v>46044</v>
      </c>
      <c r="F228" s="36">
        <f t="shared" si="44"/>
        <v>16</v>
      </c>
      <c r="G228" s="37">
        <v>46045</v>
      </c>
      <c r="I228" s="38" t="str">
        <f t="shared" ca="1" si="48"/>
        <v>Rejoined</v>
      </c>
      <c r="N228" s="38" t="str">
        <f t="shared" ca="1" si="49"/>
        <v/>
      </c>
      <c r="O228" s="39" t="str">
        <f t="shared" si="50"/>
        <v/>
      </c>
    </row>
    <row r="229" spans="1:16" ht="15.6" x14ac:dyDescent="0.3">
      <c r="A229" s="40">
        <v>2632</v>
      </c>
      <c r="B229" s="36" t="str">
        <f>IFERROR(VLOOKUP(A229,'[1]Master File'!$A$2:$C$312,3,0)," ")</f>
        <v>Ratheesh Pv</v>
      </c>
      <c r="C229" s="41" t="s">
        <v>13</v>
      </c>
      <c r="D229" s="41">
        <v>46006</v>
      </c>
      <c r="E229" s="62">
        <v>46024</v>
      </c>
      <c r="F229" s="36">
        <f t="shared" si="44"/>
        <v>19</v>
      </c>
      <c r="G229" s="37">
        <v>46025</v>
      </c>
      <c r="I229" s="38" t="str">
        <f t="shared" ca="1" si="48"/>
        <v>Rejoined</v>
      </c>
      <c r="N229" s="38" t="str">
        <f t="shared" ca="1" si="49"/>
        <v/>
      </c>
      <c r="O229" s="39" t="str">
        <f t="shared" si="50"/>
        <v/>
      </c>
    </row>
    <row r="230" spans="1:16" ht="15.6" x14ac:dyDescent="0.3">
      <c r="A230" s="40">
        <v>2632</v>
      </c>
      <c r="B230" s="36" t="str">
        <f>IFERROR(VLOOKUP(A230,'[1]Master File'!$A$2:$C$312,3,0)," ")</f>
        <v>Ratheesh Pv</v>
      </c>
      <c r="C230" s="41" t="s">
        <v>613</v>
      </c>
      <c r="D230" s="41">
        <v>45979</v>
      </c>
      <c r="E230" s="62">
        <v>45985</v>
      </c>
      <c r="F230" s="36">
        <f t="shared" si="44"/>
        <v>7</v>
      </c>
      <c r="G230" s="37">
        <v>45986</v>
      </c>
      <c r="I230" s="38" t="str">
        <f t="shared" ca="1" si="48"/>
        <v>Rejoined</v>
      </c>
      <c r="N230" s="38" t="str">
        <f t="shared" ca="1" si="49"/>
        <v/>
      </c>
      <c r="O230" s="39" t="str">
        <f t="shared" si="50"/>
        <v/>
      </c>
    </row>
    <row r="231" spans="1:16" ht="15.6" x14ac:dyDescent="0.3">
      <c r="A231" s="40">
        <v>1399</v>
      </c>
      <c r="B231" s="36" t="str">
        <f>IFERROR(VLOOKUP(A231,'[1]Master File'!$A$2:$C$312,3,0)," ")</f>
        <v>Bachittar Singh</v>
      </c>
      <c r="C231" s="41" t="s">
        <v>13</v>
      </c>
      <c r="D231" s="41">
        <v>46032</v>
      </c>
      <c r="E231" s="62">
        <v>46092</v>
      </c>
      <c r="F231" s="36">
        <f t="shared" si="44"/>
        <v>61</v>
      </c>
      <c r="G231" s="37">
        <v>46132</v>
      </c>
      <c r="I231" s="38" t="str">
        <f t="shared" ca="1" si="48"/>
        <v>Rejoined</v>
      </c>
      <c r="N231" s="38" t="str">
        <f t="shared" ca="1" si="49"/>
        <v/>
      </c>
      <c r="O231" s="39">
        <f t="shared" si="50"/>
        <v>40</v>
      </c>
    </row>
    <row r="232" spans="1:16" ht="15.6" x14ac:dyDescent="0.3">
      <c r="A232" s="40">
        <v>2778</v>
      </c>
      <c r="B232" s="36" t="s">
        <v>614</v>
      </c>
      <c r="C232" s="41" t="s">
        <v>13</v>
      </c>
      <c r="D232" s="41">
        <v>46038</v>
      </c>
      <c r="E232" s="62">
        <v>46069</v>
      </c>
      <c r="F232" s="36">
        <f t="shared" si="44"/>
        <v>32</v>
      </c>
      <c r="G232" s="37">
        <v>46070</v>
      </c>
      <c r="I232" s="38" t="str">
        <f t="shared" ca="1" si="48"/>
        <v>Rejoined</v>
      </c>
      <c r="N232" s="38" t="str">
        <f t="shared" ca="1" si="49"/>
        <v/>
      </c>
      <c r="O232" s="39" t="str">
        <f t="shared" si="50"/>
        <v/>
      </c>
    </row>
    <row r="233" spans="1:16" ht="15.6" x14ac:dyDescent="0.3">
      <c r="A233" s="40">
        <v>1106</v>
      </c>
      <c r="B233" s="36" t="str">
        <f>IFERROR(VLOOKUP(A233,'[1]Master File'!$A$2:$C$312,3,0)," ")</f>
        <v>Ram Chandra Pradhan</v>
      </c>
      <c r="C233" s="41" t="s">
        <v>14</v>
      </c>
      <c r="D233" s="41">
        <v>45988</v>
      </c>
      <c r="E233" s="62">
        <v>46002</v>
      </c>
      <c r="F233" s="36">
        <f t="shared" si="44"/>
        <v>15</v>
      </c>
      <c r="G233" s="37">
        <v>46003</v>
      </c>
      <c r="I233" s="38" t="str">
        <f t="shared" ref="I233:I246" ca="1" si="51">IF(AND(G233="", E233="", D233=""), "", IF(D233&gt;TODAY(), "Applied", IF(G233&lt;&gt;"", IF(G233&lt;E233, "Early Rejoin", "Rejoined"), IF(E233&gt;TODAY(), "On Leave", "Not Rejoined"))))</f>
        <v>Rejoined</v>
      </c>
      <c r="N233" s="38" t="str">
        <f t="shared" ref="N233:N246" ca="1" si="52">IF(AND(E233&lt;&gt;"", E233&gt;=TODAY(), E233&lt;=TODAY()+3), "Rejoin Follow Up", "")</f>
        <v/>
      </c>
      <c r="O233" s="39" t="str">
        <f t="shared" ref="O233:O246" si="53">IF(AND(G233&lt;&gt;"", G233 &gt; E233, (G233 - E233) &lt;&gt; 1), G233 - E233, "")</f>
        <v/>
      </c>
    </row>
    <row r="234" spans="1:16" ht="15.6" x14ac:dyDescent="0.3">
      <c r="A234" s="40">
        <v>2503</v>
      </c>
      <c r="B234" s="36" t="str">
        <f>IFERROR(VLOOKUP(A234,'[1]Master File'!$A$2:$C$312,3,0)," ")</f>
        <v>Md Rajib Hossen</v>
      </c>
      <c r="C234" s="41" t="s">
        <v>13</v>
      </c>
      <c r="D234" s="41">
        <v>45979</v>
      </c>
      <c r="E234" s="62">
        <v>46052</v>
      </c>
      <c r="F234" s="36">
        <f t="shared" si="44"/>
        <v>74</v>
      </c>
      <c r="G234" s="37">
        <v>46054</v>
      </c>
      <c r="I234" s="38" t="str">
        <f t="shared" ca="1" si="51"/>
        <v>Rejoined</v>
      </c>
      <c r="N234" s="38" t="str">
        <f t="shared" ca="1" si="52"/>
        <v/>
      </c>
      <c r="O234" s="39">
        <f t="shared" si="53"/>
        <v>2</v>
      </c>
    </row>
    <row r="235" spans="1:16" ht="15.6" x14ac:dyDescent="0.3">
      <c r="A235" s="40">
        <v>2615</v>
      </c>
      <c r="B235" s="36" t="str">
        <f>IFERROR(VLOOKUP(A235,'[1]Master File'!$A$2:$C$312,3,0)," ")</f>
        <v>Qamar Zaman Muhammad Akmal</v>
      </c>
      <c r="C235" s="41" t="s">
        <v>13</v>
      </c>
      <c r="D235" s="41">
        <v>45995</v>
      </c>
      <c r="E235" s="62">
        <v>46022</v>
      </c>
      <c r="F235" s="36">
        <f t="shared" si="44"/>
        <v>28</v>
      </c>
      <c r="G235" s="37">
        <v>46023</v>
      </c>
      <c r="I235" s="38" t="str">
        <f t="shared" ca="1" si="51"/>
        <v>Rejoined</v>
      </c>
      <c r="N235" s="38" t="str">
        <f t="shared" ca="1" si="52"/>
        <v/>
      </c>
      <c r="O235" s="39" t="str">
        <f t="shared" si="53"/>
        <v/>
      </c>
    </row>
    <row r="236" spans="1:16" ht="15.6" x14ac:dyDescent="0.3">
      <c r="A236" s="40">
        <v>1608</v>
      </c>
      <c r="B236" s="36" t="str">
        <f>IFERROR(VLOOKUP(A236,'[1]Master File'!$A$2:$C$312,3,0)," ")</f>
        <v>Fayaz Ali Mohammed</v>
      </c>
      <c r="C236" s="41" t="s">
        <v>13</v>
      </c>
      <c r="D236" s="41">
        <v>46009</v>
      </c>
      <c r="E236" s="62">
        <v>46022</v>
      </c>
      <c r="F236" s="36">
        <f t="shared" si="44"/>
        <v>14</v>
      </c>
      <c r="G236" s="37">
        <v>46023</v>
      </c>
      <c r="I236" s="38" t="str">
        <f t="shared" ca="1" si="51"/>
        <v>Rejoined</v>
      </c>
      <c r="N236" s="38" t="str">
        <f t="shared" ca="1" si="52"/>
        <v/>
      </c>
      <c r="O236" s="39" t="str">
        <f t="shared" si="53"/>
        <v/>
      </c>
    </row>
    <row r="237" spans="1:16" ht="15.6" x14ac:dyDescent="0.3">
      <c r="A237" s="40">
        <v>2699</v>
      </c>
      <c r="B237" s="36" t="str">
        <f>IFERROR(VLOOKUP(A237,'[1]Master File'!$A$2:$C$312,3,0)," ")</f>
        <v>Sayuri Bhagyawi Jayarathna</v>
      </c>
      <c r="C237" s="41" t="s">
        <v>13</v>
      </c>
      <c r="D237" s="41">
        <v>46006</v>
      </c>
      <c r="E237" s="62">
        <v>46022</v>
      </c>
      <c r="F237" s="36">
        <f t="shared" si="44"/>
        <v>17</v>
      </c>
      <c r="G237" s="37">
        <v>46023</v>
      </c>
      <c r="I237" s="38" t="str">
        <f t="shared" ca="1" si="51"/>
        <v>Rejoined</v>
      </c>
      <c r="N237" s="38" t="str">
        <f t="shared" ca="1" si="52"/>
        <v/>
      </c>
      <c r="O237" s="39" t="str">
        <f t="shared" si="53"/>
        <v/>
      </c>
    </row>
    <row r="238" spans="1:16" ht="15.6" x14ac:dyDescent="0.3">
      <c r="A238" s="40">
        <v>2314</v>
      </c>
      <c r="B238" s="36" t="str">
        <f>IFERROR(VLOOKUP(A238,'[1]Master File'!$A$2:$C$312,3,0)," ")</f>
        <v>Vinod Sohan</v>
      </c>
      <c r="C238" s="41" t="s">
        <v>13</v>
      </c>
      <c r="D238" s="41">
        <v>46048</v>
      </c>
      <c r="E238" s="62">
        <v>46107</v>
      </c>
      <c r="F238" s="36">
        <f t="shared" si="44"/>
        <v>60</v>
      </c>
      <c r="G238" s="37"/>
      <c r="I238" s="38" t="str">
        <f t="shared" ca="1" si="51"/>
        <v>Not Rejoined</v>
      </c>
      <c r="N238" s="38" t="str">
        <f t="shared" ca="1" si="52"/>
        <v/>
      </c>
      <c r="O238" s="39" t="str">
        <f t="shared" si="53"/>
        <v/>
      </c>
    </row>
    <row r="239" spans="1:16" ht="15.6" x14ac:dyDescent="0.3">
      <c r="A239" s="40">
        <v>1402</v>
      </c>
      <c r="B239" s="36" t="str">
        <f>IFERROR(VLOOKUP(A239,'[1]Master File'!$A$2:$C$312,3,0)," ")</f>
        <v>Khushali Bhagirath</v>
      </c>
      <c r="C239" s="41" t="s">
        <v>13</v>
      </c>
      <c r="D239" s="41">
        <v>46048</v>
      </c>
      <c r="E239" s="62">
        <v>46107</v>
      </c>
      <c r="F239" s="36">
        <f t="shared" si="44"/>
        <v>60</v>
      </c>
      <c r="G239" s="37">
        <v>46126</v>
      </c>
      <c r="I239" s="38" t="str">
        <f t="shared" ca="1" si="51"/>
        <v>Rejoined</v>
      </c>
      <c r="N239" s="38" t="str">
        <f t="shared" ca="1" si="52"/>
        <v/>
      </c>
      <c r="O239" s="39">
        <f t="shared" si="53"/>
        <v>19</v>
      </c>
    </row>
    <row r="240" spans="1:16" ht="15.6" x14ac:dyDescent="0.3">
      <c r="A240" s="40">
        <v>235</v>
      </c>
      <c r="B240" s="36" t="str">
        <f>IFERROR(VLOOKUP(A240,'[1]Master File'!$A$2:$C$312,3,0)," ")</f>
        <v>Saiyed Anwar Hussain Rizvi</v>
      </c>
      <c r="C240" s="41" t="s">
        <v>13</v>
      </c>
      <c r="D240" s="41">
        <v>46043</v>
      </c>
      <c r="E240" s="62">
        <v>46054</v>
      </c>
      <c r="F240" s="36">
        <f t="shared" si="44"/>
        <v>12</v>
      </c>
      <c r="G240" s="37">
        <v>46055</v>
      </c>
      <c r="I240" s="38" t="str">
        <f t="shared" ca="1" si="51"/>
        <v>Rejoined</v>
      </c>
      <c r="N240" s="38" t="str">
        <f t="shared" ca="1" si="52"/>
        <v/>
      </c>
      <c r="O240" s="39" t="str">
        <f t="shared" si="53"/>
        <v/>
      </c>
    </row>
    <row r="241" spans="1:15" ht="15.6" x14ac:dyDescent="0.3">
      <c r="A241" s="40">
        <v>1699</v>
      </c>
      <c r="B241" s="36" t="str">
        <f>IFERROR(VLOOKUP(A241,'[1]Master File'!$A$2:$C$312,3,0)," ")</f>
        <v>Rejanesh Kumar Raghavan</v>
      </c>
      <c r="C241" s="41" t="s">
        <v>14</v>
      </c>
      <c r="D241" s="41">
        <v>46022</v>
      </c>
      <c r="E241" s="62">
        <v>46034</v>
      </c>
      <c r="F241" s="36">
        <f t="shared" si="44"/>
        <v>13</v>
      </c>
      <c r="G241" s="37">
        <v>46059</v>
      </c>
      <c r="I241" s="38" t="str">
        <f t="shared" ca="1" si="51"/>
        <v>Rejoined</v>
      </c>
      <c r="N241" s="38" t="str">
        <f t="shared" ca="1" si="52"/>
        <v/>
      </c>
      <c r="O241" s="39">
        <f t="shared" si="53"/>
        <v>25</v>
      </c>
    </row>
    <row r="242" spans="1:15" ht="15.6" x14ac:dyDescent="0.3">
      <c r="A242" s="40">
        <v>2758</v>
      </c>
      <c r="B242" s="36" t="s">
        <v>616</v>
      </c>
      <c r="C242" s="41" t="s">
        <v>13</v>
      </c>
      <c r="D242" s="41">
        <v>46055</v>
      </c>
      <c r="E242" s="62">
        <v>46084</v>
      </c>
      <c r="F242" s="36">
        <f t="shared" si="44"/>
        <v>30</v>
      </c>
      <c r="G242" s="37">
        <v>46097</v>
      </c>
      <c r="I242" s="38" t="str">
        <f t="shared" ca="1" si="51"/>
        <v>Rejoined</v>
      </c>
      <c r="N242" s="38" t="str">
        <f t="shared" ca="1" si="52"/>
        <v/>
      </c>
      <c r="O242" s="39">
        <f t="shared" si="53"/>
        <v>13</v>
      </c>
    </row>
    <row r="243" spans="1:15" ht="15.6" x14ac:dyDescent="0.3">
      <c r="A243" s="40">
        <v>2440</v>
      </c>
      <c r="B243" s="36" t="str">
        <f>IFERROR(VLOOKUP(A243,'[1]Master File'!$A$2:$C$312,3,0)," ")</f>
        <v>Md Alamgir Hossain</v>
      </c>
      <c r="C243" s="41" t="s">
        <v>617</v>
      </c>
      <c r="D243" s="41">
        <v>46043</v>
      </c>
      <c r="E243" s="62">
        <v>46053</v>
      </c>
      <c r="F243" s="36">
        <f t="shared" si="44"/>
        <v>11</v>
      </c>
      <c r="G243" s="37">
        <v>46054</v>
      </c>
      <c r="I243" s="38" t="str">
        <f t="shared" ca="1" si="51"/>
        <v>Rejoined</v>
      </c>
      <c r="N243" s="38" t="str">
        <f t="shared" ca="1" si="52"/>
        <v/>
      </c>
      <c r="O243" s="39" t="str">
        <f t="shared" si="53"/>
        <v/>
      </c>
    </row>
    <row r="244" spans="1:15" ht="15.6" x14ac:dyDescent="0.3">
      <c r="A244" s="40">
        <v>2500</v>
      </c>
      <c r="B244" s="36" t="str">
        <f>IFERROR(VLOOKUP(A244,'[1]Master File'!$A$2:$C$312,3,0)," ")</f>
        <v>Dhurba Prakash Neupane</v>
      </c>
      <c r="C244" s="41" t="s">
        <v>13</v>
      </c>
      <c r="D244" s="41">
        <v>46055</v>
      </c>
      <c r="E244" s="62">
        <v>46082</v>
      </c>
      <c r="F244" s="36">
        <f t="shared" si="44"/>
        <v>28</v>
      </c>
      <c r="G244" s="37">
        <v>46091</v>
      </c>
      <c r="I244" s="38" t="str">
        <f t="shared" ca="1" si="51"/>
        <v>Rejoined</v>
      </c>
      <c r="N244" s="38" t="str">
        <f t="shared" ca="1" si="52"/>
        <v/>
      </c>
      <c r="O244" s="39">
        <f t="shared" si="53"/>
        <v>9</v>
      </c>
    </row>
    <row r="245" spans="1:15" ht="15.6" x14ac:dyDescent="0.3">
      <c r="A245" s="40">
        <v>2478</v>
      </c>
      <c r="B245" s="36" t="str">
        <f>IFERROR(VLOOKUP(A245,'[1]Master File'!$A$2:$C$312,3,0)," ")</f>
        <v>Saqib Raza</v>
      </c>
      <c r="C245" s="41" t="s">
        <v>13</v>
      </c>
      <c r="D245" s="41">
        <v>46104</v>
      </c>
      <c r="E245" s="62">
        <v>46166</v>
      </c>
      <c r="F245" s="36">
        <f t="shared" si="44"/>
        <v>63</v>
      </c>
      <c r="G245" s="37">
        <v>46174</v>
      </c>
      <c r="I245" s="38" t="str">
        <f t="shared" ca="1" si="51"/>
        <v>Rejoined</v>
      </c>
      <c r="N245" s="38" t="str">
        <f t="shared" ca="1" si="52"/>
        <v/>
      </c>
      <c r="O245" s="39">
        <f t="shared" si="53"/>
        <v>8</v>
      </c>
    </row>
    <row r="246" spans="1:15" ht="15.6" x14ac:dyDescent="0.3">
      <c r="A246" s="40">
        <v>2575</v>
      </c>
      <c r="B246" s="36" t="str">
        <f>IFERROR(VLOOKUP(A246,'[1]Master File'!$A$2:$C$312,3,0)," ")</f>
        <v>Ahmed Abdul Latheef Nijar</v>
      </c>
      <c r="C246" s="41" t="s">
        <v>13</v>
      </c>
      <c r="D246" s="41">
        <v>46055</v>
      </c>
      <c r="E246" s="62">
        <v>46059</v>
      </c>
      <c r="F246" s="36">
        <f t="shared" si="44"/>
        <v>5</v>
      </c>
      <c r="G246" s="37">
        <v>46060</v>
      </c>
      <c r="I246" s="38" t="str">
        <f t="shared" ca="1" si="51"/>
        <v>Rejoined</v>
      </c>
      <c r="N246" s="38" t="str">
        <f t="shared" ca="1" si="52"/>
        <v/>
      </c>
      <c r="O246" s="39" t="str">
        <f t="shared" si="53"/>
        <v/>
      </c>
    </row>
    <row r="247" spans="1:15" ht="15.6" x14ac:dyDescent="0.3">
      <c r="A247" s="40">
        <v>2795</v>
      </c>
      <c r="B247" s="36" t="s">
        <v>618</v>
      </c>
      <c r="C247" s="41" t="s">
        <v>14</v>
      </c>
      <c r="D247" s="41">
        <v>46054</v>
      </c>
      <c r="E247" s="62">
        <v>46063</v>
      </c>
      <c r="F247" s="36">
        <f t="shared" ref="F247:F256" si="54">IF(OR(D247="",E247 =""), "", E247 - D247+ 1)</f>
        <v>10</v>
      </c>
      <c r="G247" s="37">
        <v>46064</v>
      </c>
      <c r="I247" s="38" t="str">
        <f t="shared" ref="I247:I256" ca="1" si="55">IF(AND(G247="", E247="", D247=""), "", IF(D247&gt;TODAY(), "Applied", IF(G247&lt;&gt;"", IF(G247&lt;E247, "Early Rejoin", "Rejoined"), IF(E247&gt;TODAY(), "On Leave", "Not Rejoined"))))</f>
        <v>Rejoined</v>
      </c>
      <c r="N247" s="38" t="str">
        <f t="shared" ref="N247:N256" ca="1" si="56">IF(AND(E247&lt;&gt;"", E247&gt;=TODAY(), E247&lt;=TODAY()+3), "Rejoin Follow Up", "")</f>
        <v/>
      </c>
      <c r="O247" s="39" t="str">
        <f t="shared" ref="O247:O256" si="57">IF(AND(G247&lt;&gt;"", G247 &gt; E247, (G247 - E247) &lt;&gt; 1), G247 - E247, "")</f>
        <v/>
      </c>
    </row>
    <row r="248" spans="1:15" ht="15.6" x14ac:dyDescent="0.3">
      <c r="A248" s="40">
        <v>2834</v>
      </c>
      <c r="B248" s="36" t="s">
        <v>619</v>
      </c>
      <c r="C248" s="41" t="s">
        <v>14</v>
      </c>
      <c r="D248" s="41">
        <v>46018</v>
      </c>
      <c r="E248" s="62">
        <v>46029</v>
      </c>
      <c r="F248" s="36">
        <f t="shared" si="54"/>
        <v>12</v>
      </c>
      <c r="G248" s="37"/>
      <c r="I248" s="38" t="str">
        <f t="shared" ca="1" si="55"/>
        <v>Not Rejoined</v>
      </c>
      <c r="N248" s="38" t="str">
        <f t="shared" ca="1" si="56"/>
        <v/>
      </c>
      <c r="O248" s="39" t="str">
        <f t="shared" si="57"/>
        <v/>
      </c>
    </row>
    <row r="249" spans="1:15" ht="15.6" x14ac:dyDescent="0.3">
      <c r="A249" s="40">
        <v>2499</v>
      </c>
      <c r="B249" s="36" t="str">
        <f>IFERROR(VLOOKUP(A249,'[1]Master File'!$A$2:$C$312,3,0)," ")</f>
        <v>Mohammed Ramjan Ali</v>
      </c>
      <c r="C249" s="41" t="s">
        <v>13</v>
      </c>
      <c r="D249" s="41">
        <v>46154</v>
      </c>
      <c r="E249" s="62">
        <v>46183</v>
      </c>
      <c r="F249" s="36">
        <f t="shared" si="54"/>
        <v>30</v>
      </c>
      <c r="G249" s="37"/>
      <c r="I249" s="38" t="str">
        <f t="shared" ca="1" si="55"/>
        <v>Not Rejoined</v>
      </c>
      <c r="N249" s="38" t="str">
        <f t="shared" ca="1" si="56"/>
        <v/>
      </c>
      <c r="O249" s="39" t="str">
        <f t="shared" si="57"/>
        <v/>
      </c>
    </row>
    <row r="250" spans="1:15" ht="15.6" x14ac:dyDescent="0.3">
      <c r="A250" s="40">
        <v>2516</v>
      </c>
      <c r="B250" s="36" t="str">
        <f>IFERROR(VLOOKUP(A250,'[1]Master File'!$A$2:$C$312,3,0)," ")</f>
        <v>Rajesh Kumar Choudhary</v>
      </c>
      <c r="C250" s="41" t="s">
        <v>13</v>
      </c>
      <c r="D250" s="41">
        <v>46073</v>
      </c>
      <c r="E250" s="62">
        <v>46132</v>
      </c>
      <c r="F250" s="36">
        <f t="shared" si="54"/>
        <v>60</v>
      </c>
      <c r="G250" s="37">
        <v>46160</v>
      </c>
      <c r="I250" s="38" t="str">
        <f t="shared" ca="1" si="55"/>
        <v>Rejoined</v>
      </c>
      <c r="N250" s="38" t="str">
        <f t="shared" ca="1" si="56"/>
        <v/>
      </c>
      <c r="O250" s="39">
        <f t="shared" si="57"/>
        <v>28</v>
      </c>
    </row>
    <row r="251" spans="1:15" ht="15.6" x14ac:dyDescent="0.3">
      <c r="A251" s="40">
        <v>2545</v>
      </c>
      <c r="B251" s="36" t="str">
        <f>IFERROR(VLOOKUP(A251,'[1]Master File'!$A$2:$C$312,3,0)," ")</f>
        <v>Mohammad Jamal Badiyar</v>
      </c>
      <c r="C251" s="41" t="s">
        <v>13</v>
      </c>
      <c r="D251" s="41">
        <v>46044</v>
      </c>
      <c r="E251" s="62">
        <v>46073</v>
      </c>
      <c r="F251" s="36">
        <f t="shared" si="54"/>
        <v>30</v>
      </c>
      <c r="G251" s="37">
        <v>46074</v>
      </c>
      <c r="I251" s="38" t="str">
        <f t="shared" ca="1" si="55"/>
        <v>Rejoined</v>
      </c>
      <c r="N251" s="38" t="str">
        <f t="shared" ca="1" si="56"/>
        <v/>
      </c>
      <c r="O251" s="39" t="str">
        <f t="shared" si="57"/>
        <v/>
      </c>
    </row>
    <row r="252" spans="1:15" ht="15.6" x14ac:dyDescent="0.3">
      <c r="A252" s="40">
        <v>2550</v>
      </c>
      <c r="B252" s="36" t="str">
        <f>IFERROR(VLOOKUP(A252,'[1]Master File'!$A$2:$C$312,3,0)," ")</f>
        <v>Grasvin Grogory</v>
      </c>
      <c r="C252" s="41" t="s">
        <v>13</v>
      </c>
      <c r="D252" s="41">
        <v>46045</v>
      </c>
      <c r="E252" s="62">
        <v>46066</v>
      </c>
      <c r="F252" s="36">
        <f t="shared" si="54"/>
        <v>22</v>
      </c>
      <c r="G252" s="37">
        <v>46069</v>
      </c>
      <c r="I252" s="38" t="str">
        <f t="shared" ca="1" si="55"/>
        <v>Rejoined</v>
      </c>
      <c r="N252" s="38" t="str">
        <f t="shared" ca="1" si="56"/>
        <v/>
      </c>
      <c r="O252" s="39">
        <f t="shared" si="57"/>
        <v>3</v>
      </c>
    </row>
    <row r="253" spans="1:15" ht="15.6" x14ac:dyDescent="0.3">
      <c r="A253" s="40">
        <v>2510</v>
      </c>
      <c r="B253" s="36" t="s">
        <v>620</v>
      </c>
      <c r="C253" s="41" t="s">
        <v>13</v>
      </c>
      <c r="D253" s="41">
        <v>46073</v>
      </c>
      <c r="E253" s="62">
        <v>46132</v>
      </c>
      <c r="F253" s="36">
        <f t="shared" si="54"/>
        <v>60</v>
      </c>
      <c r="G253" s="37">
        <v>46160</v>
      </c>
      <c r="I253" s="38" t="str">
        <f t="shared" ca="1" si="55"/>
        <v>Rejoined</v>
      </c>
      <c r="N253" s="38" t="str">
        <f t="shared" ca="1" si="56"/>
        <v/>
      </c>
      <c r="O253" s="39">
        <f t="shared" si="57"/>
        <v>28</v>
      </c>
    </row>
    <row r="254" spans="1:15" ht="15.6" x14ac:dyDescent="0.3">
      <c r="A254" s="40">
        <v>2725</v>
      </c>
      <c r="B254" s="36" t="str">
        <f>IFERROR(VLOOKUP(A254,'[1]Master File'!$A$2:$C$312,3,0)," ")</f>
        <v>Vipin Ponnumani</v>
      </c>
      <c r="C254" s="41" t="s">
        <v>14</v>
      </c>
      <c r="D254" s="41">
        <v>46039</v>
      </c>
      <c r="E254" s="62">
        <v>46056</v>
      </c>
      <c r="F254" s="36">
        <f t="shared" si="54"/>
        <v>18</v>
      </c>
      <c r="G254" s="37">
        <v>46058</v>
      </c>
      <c r="I254" s="38" t="str">
        <f t="shared" ca="1" si="55"/>
        <v>Rejoined</v>
      </c>
      <c r="N254" s="38" t="str">
        <f t="shared" ca="1" si="56"/>
        <v/>
      </c>
      <c r="O254" s="39">
        <f t="shared" si="57"/>
        <v>2</v>
      </c>
    </row>
    <row r="255" spans="1:15" ht="15.6" x14ac:dyDescent="0.3">
      <c r="A255" s="40">
        <v>2777</v>
      </c>
      <c r="B255" s="36" t="s">
        <v>621</v>
      </c>
      <c r="C255" s="41" t="s">
        <v>13</v>
      </c>
      <c r="D255" s="41">
        <v>46062</v>
      </c>
      <c r="E255" s="62">
        <v>46091</v>
      </c>
      <c r="F255" s="36">
        <f t="shared" si="54"/>
        <v>30</v>
      </c>
      <c r="G255" s="37">
        <v>46129</v>
      </c>
      <c r="I255" s="38" t="str">
        <f t="shared" ca="1" si="55"/>
        <v>Rejoined</v>
      </c>
      <c r="N255" s="38" t="str">
        <f t="shared" ca="1" si="56"/>
        <v/>
      </c>
      <c r="O255" s="39">
        <f t="shared" si="57"/>
        <v>38</v>
      </c>
    </row>
    <row r="256" spans="1:15" ht="15.6" x14ac:dyDescent="0.3">
      <c r="A256" s="40">
        <v>2594</v>
      </c>
      <c r="B256" s="36" t="str">
        <f>IFERROR(VLOOKUP(A256,'[1]Master File'!$A$2:$C$312,3,0)," ")</f>
        <v>Naveed Shams Ur Rehman</v>
      </c>
      <c r="C256" s="41" t="s">
        <v>13</v>
      </c>
      <c r="D256" s="41">
        <v>46097</v>
      </c>
      <c r="E256" s="62">
        <v>46122</v>
      </c>
      <c r="F256" s="36">
        <f t="shared" si="54"/>
        <v>26</v>
      </c>
      <c r="G256" s="37">
        <v>46142</v>
      </c>
      <c r="I256" s="38" t="str">
        <f t="shared" ca="1" si="55"/>
        <v>Rejoined</v>
      </c>
      <c r="N256" s="38" t="str">
        <f t="shared" ca="1" si="56"/>
        <v/>
      </c>
      <c r="O256" s="39">
        <f t="shared" si="57"/>
        <v>20</v>
      </c>
    </row>
    <row r="257" spans="1:15" ht="15.6" x14ac:dyDescent="0.3">
      <c r="A257" s="40">
        <v>266</v>
      </c>
      <c r="B257" s="36" t="str">
        <f>IFERROR(VLOOKUP(A257,'[1]Master File'!$A$2:$C$312,3,0)," ")</f>
        <v>Shareef Asadullah Muhammad</v>
      </c>
      <c r="C257" s="41" t="s">
        <v>13</v>
      </c>
      <c r="D257" s="41">
        <v>46048</v>
      </c>
      <c r="E257" s="62">
        <v>46059</v>
      </c>
      <c r="F257" s="36">
        <f t="shared" ref="F257:F270" si="58">IF(OR(D257="",E257 =""), "", E257 - D257+ 1)</f>
        <v>12</v>
      </c>
      <c r="G257" s="37">
        <v>46060</v>
      </c>
      <c r="I257" s="38" t="str">
        <f t="shared" ref="I257:I270" ca="1" si="59">IF(AND(G257="", E257="", D257=""), "", IF(D257&gt;TODAY(), "Applied", IF(G257&lt;&gt;"", IF(G257&lt;E257, "Early Rejoin", "Rejoined"), IF(E257&gt;TODAY(), "On Leave", "Not Rejoined"))))</f>
        <v>Rejoined</v>
      </c>
      <c r="N257" s="38" t="str">
        <f t="shared" ref="N257:N270" ca="1" si="60">IF(AND(E257&lt;&gt;"", E257&gt;=TODAY(), E257&lt;=TODAY()+3), "Rejoin Follow Up", "")</f>
        <v/>
      </c>
      <c r="O257" s="39" t="str">
        <f t="shared" ref="O257:O270" si="61">IF(AND(G257&lt;&gt;"", G257 &gt; E257, (G257 - E257) &lt;&gt; 1), G257 - E257, "")</f>
        <v/>
      </c>
    </row>
    <row r="258" spans="1:15" ht="15.6" x14ac:dyDescent="0.3">
      <c r="A258" s="40">
        <v>1539</v>
      </c>
      <c r="B258" s="36" t="str">
        <f>IFERROR(VLOOKUP(A258,'[1]Master File'!$A$2:$C$312,3,0)," ")</f>
        <v>Salahudheen Karikuzhiyan Variyath</v>
      </c>
      <c r="C258" s="41" t="s">
        <v>14</v>
      </c>
      <c r="D258" s="41">
        <v>46055</v>
      </c>
      <c r="E258" s="62">
        <v>46064</v>
      </c>
      <c r="F258" s="36">
        <f t="shared" si="58"/>
        <v>10</v>
      </c>
      <c r="G258" s="37">
        <v>46065</v>
      </c>
      <c r="I258" s="38" t="str">
        <f t="shared" ca="1" si="59"/>
        <v>Rejoined</v>
      </c>
      <c r="N258" s="38" t="str">
        <f t="shared" ca="1" si="60"/>
        <v/>
      </c>
      <c r="O258" s="39" t="str">
        <f t="shared" si="61"/>
        <v/>
      </c>
    </row>
    <row r="259" spans="1:15" ht="15.6" x14ac:dyDescent="0.3">
      <c r="A259" s="40">
        <v>2627</v>
      </c>
      <c r="B259" s="36" t="str">
        <f>IFERROR(VLOOKUP(A259,'[1]Master File'!$A$2:$C$312,3,0)," ")</f>
        <v>Bheem Kumar Thakur</v>
      </c>
      <c r="C259" s="41" t="s">
        <v>13</v>
      </c>
      <c r="D259" s="41">
        <v>46076</v>
      </c>
      <c r="E259" s="62">
        <v>46135</v>
      </c>
      <c r="F259" s="36">
        <f t="shared" si="58"/>
        <v>60</v>
      </c>
      <c r="G259" s="37">
        <v>46157</v>
      </c>
      <c r="I259" s="38" t="str">
        <f t="shared" ca="1" si="59"/>
        <v>Rejoined</v>
      </c>
      <c r="N259" s="38" t="str">
        <f t="shared" ca="1" si="60"/>
        <v/>
      </c>
      <c r="O259" s="39">
        <f t="shared" si="61"/>
        <v>22</v>
      </c>
    </row>
    <row r="260" spans="1:15" ht="15.6" x14ac:dyDescent="0.3">
      <c r="A260" s="40">
        <v>2606</v>
      </c>
      <c r="B260" s="36" t="str">
        <f>IFERROR(VLOOKUP(A260,'[1]Master File'!$A$2:$C$312,3,0)," ")</f>
        <v>Umair Ali Khan</v>
      </c>
      <c r="C260" s="41" t="s">
        <v>13</v>
      </c>
      <c r="D260" s="41">
        <v>46048</v>
      </c>
      <c r="E260" s="62">
        <v>46049</v>
      </c>
      <c r="F260" s="36">
        <f t="shared" si="58"/>
        <v>2</v>
      </c>
      <c r="G260" s="37">
        <v>46050</v>
      </c>
      <c r="I260" s="38" t="str">
        <f t="shared" ca="1" si="59"/>
        <v>Rejoined</v>
      </c>
      <c r="N260" s="38" t="str">
        <f t="shared" ca="1" si="60"/>
        <v/>
      </c>
      <c r="O260" s="39" t="str">
        <f t="shared" si="61"/>
        <v/>
      </c>
    </row>
    <row r="261" spans="1:15" ht="15.6" x14ac:dyDescent="0.3">
      <c r="A261" s="40">
        <v>2078</v>
      </c>
      <c r="B261" s="36" t="str">
        <f>IFERROR(VLOOKUP(A261,'[1]Master File'!$A$2:$C$312,3,0)," ")</f>
        <v>Jabeena Ponmanichi Baboo</v>
      </c>
      <c r="C261" s="41" t="s">
        <v>13</v>
      </c>
      <c r="D261" s="41">
        <v>46014</v>
      </c>
      <c r="E261" s="62">
        <v>46021</v>
      </c>
      <c r="F261" s="36">
        <f t="shared" si="58"/>
        <v>8</v>
      </c>
      <c r="G261" s="37">
        <v>46022</v>
      </c>
      <c r="I261" s="38" t="str">
        <f t="shared" ca="1" si="59"/>
        <v>Rejoined</v>
      </c>
      <c r="N261" s="38" t="str">
        <f t="shared" ca="1" si="60"/>
        <v/>
      </c>
      <c r="O261" s="39" t="str">
        <f t="shared" si="61"/>
        <v/>
      </c>
    </row>
    <row r="262" spans="1:15" ht="15.6" x14ac:dyDescent="0.3">
      <c r="A262" s="40">
        <v>2856</v>
      </c>
      <c r="B262" s="36" t="s">
        <v>623</v>
      </c>
      <c r="C262" s="41" t="s">
        <v>14</v>
      </c>
      <c r="D262" s="41">
        <v>46074</v>
      </c>
      <c r="E262" s="62">
        <v>46089</v>
      </c>
      <c r="F262" s="36">
        <f t="shared" si="58"/>
        <v>16</v>
      </c>
      <c r="G262" s="37"/>
      <c r="I262" s="38" t="str">
        <f t="shared" ca="1" si="59"/>
        <v>Not Rejoined</v>
      </c>
      <c r="N262" s="38" t="str">
        <f t="shared" ca="1" si="60"/>
        <v/>
      </c>
      <c r="O262" s="39" t="str">
        <f t="shared" si="61"/>
        <v/>
      </c>
    </row>
    <row r="263" spans="1:15" ht="15.6" x14ac:dyDescent="0.3">
      <c r="A263" s="40">
        <v>2707</v>
      </c>
      <c r="B263" s="36" t="str">
        <f>IFERROR(VLOOKUP(A263,'[1]Master File'!$A$2:$C$312,3,0)," ")</f>
        <v>Mosim Khan</v>
      </c>
      <c r="C263" s="41" t="s">
        <v>13</v>
      </c>
      <c r="D263" s="41">
        <v>46104</v>
      </c>
      <c r="E263" s="62">
        <v>46133</v>
      </c>
      <c r="F263" s="36">
        <f t="shared" si="58"/>
        <v>30</v>
      </c>
      <c r="G263" s="37">
        <v>46139</v>
      </c>
      <c r="I263" s="38" t="str">
        <f t="shared" ca="1" si="59"/>
        <v>Rejoined</v>
      </c>
      <c r="N263" s="38" t="str">
        <f t="shared" ca="1" si="60"/>
        <v/>
      </c>
      <c r="O263" s="39">
        <f t="shared" si="61"/>
        <v>6</v>
      </c>
    </row>
    <row r="264" spans="1:15" ht="15.6" x14ac:dyDescent="0.3">
      <c r="A264" s="40">
        <v>2740</v>
      </c>
      <c r="B264" s="36" t="s">
        <v>624</v>
      </c>
      <c r="C264" s="41" t="s">
        <v>13</v>
      </c>
      <c r="D264" s="41">
        <v>46078</v>
      </c>
      <c r="E264" s="62">
        <v>46108</v>
      </c>
      <c r="F264" s="36">
        <f t="shared" si="58"/>
        <v>31</v>
      </c>
      <c r="G264" s="37">
        <v>46160</v>
      </c>
      <c r="I264" s="38" t="str">
        <f t="shared" ca="1" si="59"/>
        <v>Rejoined</v>
      </c>
      <c r="N264" s="38" t="str">
        <f t="shared" ca="1" si="60"/>
        <v/>
      </c>
      <c r="O264" s="39">
        <f t="shared" si="61"/>
        <v>52</v>
      </c>
    </row>
    <row r="265" spans="1:15" ht="15.6" x14ac:dyDescent="0.3">
      <c r="A265" s="40">
        <v>2504</v>
      </c>
      <c r="B265" s="36" t="str">
        <f>IFERROR(VLOOKUP(A265,'[1]Master File'!$A$2:$C$312,3,0)," ")</f>
        <v>Muhammad Tayyab</v>
      </c>
      <c r="C265" s="41" t="s">
        <v>13</v>
      </c>
      <c r="D265" s="41">
        <v>46104</v>
      </c>
      <c r="E265" s="62">
        <v>46163</v>
      </c>
      <c r="F265" s="36">
        <f t="shared" si="58"/>
        <v>60</v>
      </c>
      <c r="G265" s="37"/>
      <c r="I265" s="38" t="str">
        <f t="shared" ca="1" si="59"/>
        <v>Not Rejoined</v>
      </c>
      <c r="N265" s="38" t="str">
        <f t="shared" ca="1" si="60"/>
        <v/>
      </c>
      <c r="O265" s="39" t="str">
        <f t="shared" si="61"/>
        <v/>
      </c>
    </row>
    <row r="266" spans="1:15" ht="15.6" x14ac:dyDescent="0.3">
      <c r="A266" s="40">
        <v>2582</v>
      </c>
      <c r="B266" s="36" t="str">
        <f>IFERROR(VLOOKUP(A266,'[1]Master File'!$A$2:$C$312,3,0)," ")</f>
        <v xml:space="preserve">Niyas Mohamed Deen Mohamed </v>
      </c>
      <c r="C266" s="41" t="s">
        <v>13</v>
      </c>
      <c r="D266" s="41">
        <v>46171</v>
      </c>
      <c r="E266" s="62">
        <v>46232</v>
      </c>
      <c r="F266" s="36">
        <f t="shared" si="58"/>
        <v>62</v>
      </c>
      <c r="G266" s="37"/>
      <c r="I266" s="38" t="str">
        <f t="shared" ca="1" si="59"/>
        <v>On Leave</v>
      </c>
      <c r="N266" s="38" t="str">
        <f t="shared" ca="1" si="60"/>
        <v/>
      </c>
      <c r="O266" s="39" t="str">
        <f t="shared" si="61"/>
        <v/>
      </c>
    </row>
    <row r="267" spans="1:15" ht="15.6" x14ac:dyDescent="0.3">
      <c r="A267" s="40">
        <v>2594</v>
      </c>
      <c r="B267" s="36" t="str">
        <f>IFERROR(VLOOKUP(A267,'[1]Master File'!$A$2:$C$312,3,0)," ")</f>
        <v>Naveed Shams Ur Rehman</v>
      </c>
      <c r="C267" s="41" t="s">
        <v>625</v>
      </c>
      <c r="D267" s="41">
        <v>46078</v>
      </c>
      <c r="E267" s="62">
        <v>46087</v>
      </c>
      <c r="F267" s="36">
        <f t="shared" si="58"/>
        <v>10</v>
      </c>
      <c r="G267" s="37">
        <v>46090</v>
      </c>
      <c r="I267" s="38" t="str">
        <f t="shared" ca="1" si="59"/>
        <v>Rejoined</v>
      </c>
      <c r="N267" s="38" t="str">
        <f t="shared" ca="1" si="60"/>
        <v/>
      </c>
      <c r="O267" s="39">
        <f t="shared" si="61"/>
        <v>3</v>
      </c>
    </row>
    <row r="268" spans="1:15" ht="15.6" x14ac:dyDescent="0.3">
      <c r="A268" s="40">
        <v>2726</v>
      </c>
      <c r="B268" s="36" t="str">
        <f>IFERROR(VLOOKUP(A268,'[1]Master File'!$A$2:$C$312,3,0)," ")</f>
        <v>MD Ramjan Mrodha</v>
      </c>
      <c r="C268" s="41" t="s">
        <v>14</v>
      </c>
      <c r="D268" s="41">
        <v>46071</v>
      </c>
      <c r="E268" s="62">
        <v>46082</v>
      </c>
      <c r="F268" s="36">
        <f t="shared" si="58"/>
        <v>12</v>
      </c>
      <c r="G268" s="37">
        <v>46083</v>
      </c>
      <c r="I268" s="38" t="str">
        <f t="shared" ca="1" si="59"/>
        <v>Rejoined</v>
      </c>
      <c r="N268" s="38" t="str">
        <f t="shared" ca="1" si="60"/>
        <v/>
      </c>
      <c r="O268" s="39" t="str">
        <f t="shared" si="61"/>
        <v/>
      </c>
    </row>
    <row r="269" spans="1:15" ht="15.6" x14ac:dyDescent="0.3">
      <c r="A269" s="40">
        <v>338</v>
      </c>
      <c r="B269" s="36" t="str">
        <f>IFERROR(VLOOKUP(A269,'[1]Master File'!$A$2:$C$312,3,0)," ")</f>
        <v>Jugdayal Sharma Sudeshwar Sharma</v>
      </c>
      <c r="C269" s="41" t="s">
        <v>13</v>
      </c>
      <c r="D269" s="41">
        <v>46081</v>
      </c>
      <c r="E269" s="62">
        <v>46112</v>
      </c>
      <c r="F269" s="36">
        <f t="shared" si="58"/>
        <v>32</v>
      </c>
      <c r="G269" s="37">
        <v>46127</v>
      </c>
      <c r="I269" s="38" t="str">
        <f t="shared" ca="1" si="59"/>
        <v>Rejoined</v>
      </c>
      <c r="N269" s="38" t="str">
        <f t="shared" ca="1" si="60"/>
        <v/>
      </c>
      <c r="O269" s="39">
        <f t="shared" si="61"/>
        <v>15</v>
      </c>
    </row>
    <row r="270" spans="1:15" ht="15.6" x14ac:dyDescent="0.3">
      <c r="A270" s="40">
        <v>2641</v>
      </c>
      <c r="B270" s="36" t="s">
        <v>626</v>
      </c>
      <c r="C270" s="41" t="s">
        <v>13</v>
      </c>
      <c r="D270" s="41">
        <v>46104</v>
      </c>
      <c r="E270" s="62">
        <v>46165</v>
      </c>
      <c r="F270" s="36">
        <f t="shared" si="58"/>
        <v>62</v>
      </c>
      <c r="G270" s="37"/>
      <c r="I270" s="38" t="str">
        <f t="shared" ca="1" si="59"/>
        <v>Not Rejoined</v>
      </c>
      <c r="N270" s="38" t="str">
        <f t="shared" ca="1" si="60"/>
        <v/>
      </c>
      <c r="O270" s="39" t="str">
        <f t="shared" si="61"/>
        <v/>
      </c>
    </row>
    <row r="271" spans="1:15" ht="15.6" x14ac:dyDescent="0.3">
      <c r="A271" s="40"/>
      <c r="B271" s="36"/>
      <c r="C271" s="41"/>
      <c r="D271" s="41"/>
      <c r="E271" s="62"/>
      <c r="F271" s="36"/>
      <c r="G271" s="37"/>
      <c r="I271" s="38"/>
      <c r="N271" s="38"/>
      <c r="O271" s="39"/>
    </row>
    <row r="272" spans="1:15" ht="15.6" x14ac:dyDescent="0.3">
      <c r="A272" s="40">
        <v>2622</v>
      </c>
      <c r="B272" s="36" t="str">
        <f>IFERROR(VLOOKUP(A272,'[1]Master File'!$A$2:$C$312,3,0)," ")</f>
        <v>Ahtsham Khalid</v>
      </c>
      <c r="C272" s="41" t="s">
        <v>13</v>
      </c>
      <c r="D272" s="41">
        <v>46105</v>
      </c>
      <c r="E272" s="62">
        <v>46168</v>
      </c>
      <c r="F272" s="36">
        <f t="shared" ref="F272:F279" si="62">IF(OR(D272="",E272 =""), "", E272 - D272+ 1)</f>
        <v>64</v>
      </c>
      <c r="G272" s="37">
        <v>46181</v>
      </c>
      <c r="I272" s="38" t="str">
        <f t="shared" ref="I272:I279" ca="1" si="63">IF(AND(G272="", E272="", D272=""), "", IF(D272&gt;TODAY(), "Applied", IF(G272&lt;&gt;"", IF(G272&lt;E272, "Early Rejoin", "Rejoined"), IF(E272&gt;TODAY(), "On Leave", "Not Rejoined"))))</f>
        <v>Rejoined</v>
      </c>
      <c r="N272" s="38" t="str">
        <f t="shared" ref="N272:N279" ca="1" si="64">IF(AND(E272&lt;&gt;"", E272&gt;=TODAY(), E272&lt;=TODAY()+3), "Rejoin Follow Up", "")</f>
        <v/>
      </c>
      <c r="O272" s="39">
        <f t="shared" ref="O272:O279" si="65">IF(AND(G272&lt;&gt;"", G272 &gt; E272, (G272 - E272) &lt;&gt; 1), G272 - E272, "")</f>
        <v>13</v>
      </c>
    </row>
    <row r="273" spans="1:15" ht="15.6" x14ac:dyDescent="0.3">
      <c r="A273" s="40">
        <v>1076</v>
      </c>
      <c r="B273" s="36" t="str">
        <f>IFERROR(VLOOKUP(A273,'[1]Master File'!$A$2:$C$312,3,0)," ")</f>
        <v>Naveed Anjum Muhammad Ramzan Bagoo</v>
      </c>
      <c r="C273" s="41" t="s">
        <v>13</v>
      </c>
      <c r="D273" s="41">
        <v>46089</v>
      </c>
      <c r="E273" s="62">
        <v>46149</v>
      </c>
      <c r="F273" s="36">
        <f t="shared" si="62"/>
        <v>61</v>
      </c>
      <c r="G273" s="37">
        <v>46189</v>
      </c>
      <c r="I273" s="38" t="str">
        <f t="shared" ca="1" si="63"/>
        <v>Rejoined</v>
      </c>
      <c r="N273" s="38" t="str">
        <f t="shared" ca="1" si="64"/>
        <v/>
      </c>
      <c r="O273" s="39">
        <f t="shared" si="65"/>
        <v>40</v>
      </c>
    </row>
    <row r="274" spans="1:15" ht="15.6" x14ac:dyDescent="0.3">
      <c r="A274" s="40">
        <v>629</v>
      </c>
      <c r="B274" s="36" t="str">
        <f>IFERROR(VLOOKUP(A274,'[1]Master File'!$A$2:$C$312,3,0)," ")</f>
        <v>Amir Alam Khan Bahar Karam</v>
      </c>
      <c r="C274" s="41" t="s">
        <v>13</v>
      </c>
      <c r="D274" s="41">
        <v>46097</v>
      </c>
      <c r="E274" s="62">
        <v>46158</v>
      </c>
      <c r="F274" s="36">
        <f t="shared" si="62"/>
        <v>62</v>
      </c>
      <c r="G274" s="37">
        <v>46174</v>
      </c>
      <c r="I274" s="38" t="str">
        <f t="shared" ca="1" si="63"/>
        <v>Rejoined</v>
      </c>
      <c r="N274" s="38" t="str">
        <f t="shared" ca="1" si="64"/>
        <v/>
      </c>
      <c r="O274" s="39">
        <f t="shared" si="65"/>
        <v>16</v>
      </c>
    </row>
    <row r="275" spans="1:15" ht="15.6" x14ac:dyDescent="0.3">
      <c r="A275" s="40">
        <v>2712</v>
      </c>
      <c r="B275" s="36" t="str">
        <f>IFERROR(VLOOKUP(A275,'[1]Master File'!$A$2:$C$312,3,0)," ")</f>
        <v>Imaad Ali Khan</v>
      </c>
      <c r="C275" s="41" t="s">
        <v>13</v>
      </c>
      <c r="D275" s="41">
        <v>45935</v>
      </c>
      <c r="E275" s="62">
        <v>45957</v>
      </c>
      <c r="F275" s="36">
        <f t="shared" si="62"/>
        <v>23</v>
      </c>
      <c r="G275" s="37">
        <v>45958</v>
      </c>
      <c r="I275" s="38" t="str">
        <f t="shared" ca="1" si="63"/>
        <v>Rejoined</v>
      </c>
      <c r="N275" s="38" t="str">
        <f t="shared" ca="1" si="64"/>
        <v/>
      </c>
      <c r="O275" s="39" t="str">
        <f t="shared" si="65"/>
        <v/>
      </c>
    </row>
    <row r="276" spans="1:15" ht="15.6" x14ac:dyDescent="0.3">
      <c r="A276" s="40">
        <v>2286</v>
      </c>
      <c r="B276" s="36" t="str">
        <f>IFERROR(VLOOKUP(A276,'[1]Master File'!$A$2:$C$312,3,0)," ")</f>
        <v>Aqil Javed</v>
      </c>
      <c r="C276" s="41" t="s">
        <v>625</v>
      </c>
      <c r="D276" s="41">
        <v>46078</v>
      </c>
      <c r="E276" s="62">
        <v>46089</v>
      </c>
      <c r="F276" s="36">
        <f t="shared" si="62"/>
        <v>12</v>
      </c>
      <c r="G276" s="37">
        <v>46090</v>
      </c>
      <c r="I276" s="38" t="str">
        <f t="shared" ca="1" si="63"/>
        <v>Rejoined</v>
      </c>
      <c r="N276" s="38" t="str">
        <f t="shared" ca="1" si="64"/>
        <v/>
      </c>
      <c r="O276" s="39" t="str">
        <f t="shared" si="65"/>
        <v/>
      </c>
    </row>
    <row r="277" spans="1:15" ht="15.6" x14ac:dyDescent="0.3">
      <c r="A277" s="40">
        <v>2537</v>
      </c>
      <c r="B277" s="36" t="str">
        <f>IFERROR(VLOOKUP(A277,'[1]Master File'!$A$2:$C$312,3,0)," ")</f>
        <v>Rasel Ali Sha</v>
      </c>
      <c r="C277" s="41" t="s">
        <v>13</v>
      </c>
      <c r="D277" s="41">
        <v>46080</v>
      </c>
      <c r="E277" s="62">
        <v>46139</v>
      </c>
      <c r="F277" s="36">
        <f t="shared" si="62"/>
        <v>60</v>
      </c>
      <c r="G277" s="37">
        <v>46160</v>
      </c>
      <c r="I277" s="38" t="str">
        <f t="shared" ca="1" si="63"/>
        <v>Rejoined</v>
      </c>
      <c r="N277" s="38" t="str">
        <f t="shared" ca="1" si="64"/>
        <v/>
      </c>
      <c r="O277" s="39">
        <f t="shared" si="65"/>
        <v>21</v>
      </c>
    </row>
    <row r="278" spans="1:15" ht="15.6" x14ac:dyDescent="0.3">
      <c r="A278" s="40">
        <v>976</v>
      </c>
      <c r="B278" s="36" t="str">
        <f>IFERROR(VLOOKUP(A278,'[1]Master File'!$A$2:$C$312,3,0)," ")</f>
        <v>Nasar Khan Muhammad Afzal Khan</v>
      </c>
      <c r="C278" s="41" t="s">
        <v>13</v>
      </c>
      <c r="D278" s="41">
        <v>46104</v>
      </c>
      <c r="E278" s="62">
        <v>46133</v>
      </c>
      <c r="F278" s="36">
        <f t="shared" si="62"/>
        <v>30</v>
      </c>
      <c r="G278" s="37">
        <v>46146</v>
      </c>
      <c r="I278" s="38" t="str">
        <f t="shared" ca="1" si="63"/>
        <v>Rejoined</v>
      </c>
      <c r="N278" s="38" t="str">
        <f t="shared" ca="1" si="64"/>
        <v/>
      </c>
      <c r="O278" s="39">
        <f t="shared" si="65"/>
        <v>13</v>
      </c>
    </row>
    <row r="279" spans="1:15" ht="15.6" x14ac:dyDescent="0.3">
      <c r="A279" s="40">
        <v>979</v>
      </c>
      <c r="B279" s="36" t="str">
        <f>IFERROR(VLOOKUP(A279,'[1]Master File'!$A$2:$C$312,3,0)," ")</f>
        <v>Gopakumar Gopinathan Pillai</v>
      </c>
      <c r="C279" s="41" t="s">
        <v>13</v>
      </c>
      <c r="D279" s="41">
        <v>46118</v>
      </c>
      <c r="E279" s="62">
        <v>46128</v>
      </c>
      <c r="F279" s="36">
        <f t="shared" si="62"/>
        <v>11</v>
      </c>
      <c r="G279" s="37">
        <v>46129</v>
      </c>
      <c r="I279" s="38" t="str">
        <f t="shared" ca="1" si="63"/>
        <v>Rejoined</v>
      </c>
      <c r="N279" s="38" t="str">
        <f t="shared" ca="1" si="64"/>
        <v/>
      </c>
      <c r="O279" s="39" t="str">
        <f t="shared" si="65"/>
        <v/>
      </c>
    </row>
    <row r="280" spans="1:15" ht="15.6" x14ac:dyDescent="0.3">
      <c r="A280" s="2">
        <v>2656</v>
      </c>
      <c r="B280" s="1" t="str">
        <f>IFERROR(VLOOKUP(A280,'[1]Master File'!$A$2:$C$312,3,0)," ")</f>
        <v>Amith V.R</v>
      </c>
      <c r="C280" s="41" t="s">
        <v>13</v>
      </c>
      <c r="D280" s="5">
        <v>46113</v>
      </c>
      <c r="E280" s="61">
        <v>46128</v>
      </c>
      <c r="F280" s="1">
        <f t="shared" ref="F280:F290" si="66">IF(OR(D280="",E280 =""), "", E280 - D280+ 1)</f>
        <v>16</v>
      </c>
      <c r="G280" s="37">
        <v>46129</v>
      </c>
      <c r="I280" s="38" t="str">
        <f t="shared" ref="I280:I290" ca="1" si="67">IF(AND(G280="", E280="", D280=""), "", IF(D280&gt;TODAY(), "Applied", IF(G280&lt;&gt;"", IF(G280&lt;E280, "Early Rejoin", "Rejoined"), IF(E280&gt;TODAY(), "On Leave", "Not Rejoined"))))</f>
        <v>Rejoined</v>
      </c>
      <c r="N280" s="38" t="str">
        <f t="shared" ref="N280:N290" ca="1" si="68">IF(AND(E280&lt;&gt;"", E280&gt;=TODAY(), E280&lt;=TODAY()+3), "Rejoin Follow Up", "")</f>
        <v/>
      </c>
      <c r="O280" s="11" t="str">
        <f t="shared" ref="O280:O290" si="69">IF(AND(G280&lt;&gt;"", G280 &gt; E280, (G280 - E280) &lt;&gt; 1), G280 - E280, "")</f>
        <v/>
      </c>
    </row>
    <row r="281" spans="1:15" ht="15.6" x14ac:dyDescent="0.3">
      <c r="A281" s="2">
        <v>2787</v>
      </c>
      <c r="B281" s="1" t="s">
        <v>542</v>
      </c>
      <c r="C281" s="41" t="s">
        <v>13</v>
      </c>
      <c r="D281" s="5">
        <v>46157</v>
      </c>
      <c r="E281" s="61">
        <v>46166</v>
      </c>
      <c r="F281" s="1">
        <f t="shared" si="66"/>
        <v>10</v>
      </c>
      <c r="G281" s="37"/>
      <c r="I281" s="38" t="str">
        <f t="shared" ca="1" si="67"/>
        <v>Not Rejoined</v>
      </c>
      <c r="N281" s="38" t="str">
        <f t="shared" ca="1" si="68"/>
        <v/>
      </c>
      <c r="O281" s="11" t="str">
        <f t="shared" si="69"/>
        <v/>
      </c>
    </row>
    <row r="282" spans="1:15" ht="15.6" x14ac:dyDescent="0.3">
      <c r="A282" s="2">
        <v>2014</v>
      </c>
      <c r="B282" s="1" t="str">
        <f>IFERROR(VLOOKUP(A282,'[1]Master File'!$A$2:$C$312,3,0)," ")</f>
        <v>Bacha Rashid Fazal Wahid</v>
      </c>
      <c r="C282" s="2" t="s">
        <v>14</v>
      </c>
      <c r="D282" s="5">
        <v>46125</v>
      </c>
      <c r="E282" s="61">
        <v>46184</v>
      </c>
      <c r="F282" s="1">
        <f t="shared" si="66"/>
        <v>60</v>
      </c>
      <c r="G282" s="37"/>
      <c r="I282" s="38" t="str">
        <f t="shared" ca="1" si="67"/>
        <v>Not Rejoined</v>
      </c>
      <c r="N282" s="38" t="str">
        <f t="shared" ca="1" si="68"/>
        <v/>
      </c>
      <c r="O282" s="11" t="str">
        <f t="shared" si="69"/>
        <v/>
      </c>
    </row>
    <row r="283" spans="1:15" ht="15.6" x14ac:dyDescent="0.3">
      <c r="A283" s="2">
        <v>1016</v>
      </c>
      <c r="B283" s="1" t="str">
        <f>IFERROR(VLOOKUP(A283,'[1]Master File'!$A$2:$C$312,3,0)," ")</f>
        <v>Mohammed Abul Hasan</v>
      </c>
      <c r="C283" s="41" t="s">
        <v>13</v>
      </c>
      <c r="D283" s="5">
        <v>46104</v>
      </c>
      <c r="E283" s="61">
        <v>46133</v>
      </c>
      <c r="F283" s="1">
        <f t="shared" si="66"/>
        <v>30</v>
      </c>
      <c r="G283" s="37">
        <v>46140</v>
      </c>
      <c r="I283" s="38" t="str">
        <f t="shared" ca="1" si="67"/>
        <v>Rejoined</v>
      </c>
      <c r="N283" s="38" t="str">
        <f t="shared" ca="1" si="68"/>
        <v/>
      </c>
      <c r="O283" s="11">
        <f t="shared" si="69"/>
        <v>7</v>
      </c>
    </row>
    <row r="284" spans="1:15" ht="15.6" x14ac:dyDescent="0.3">
      <c r="A284" s="2">
        <v>1693</v>
      </c>
      <c r="B284" s="1" t="str">
        <f>IFERROR(VLOOKUP(A284,'[1]Master File'!$A$2:$C$312,3,0)," ")</f>
        <v>Shaik Rasheed Ahmed</v>
      </c>
      <c r="C284" s="41" t="s">
        <v>13</v>
      </c>
      <c r="D284" s="5">
        <v>46104</v>
      </c>
      <c r="E284" s="61">
        <v>46121</v>
      </c>
      <c r="F284" s="1">
        <f t="shared" si="66"/>
        <v>18</v>
      </c>
      <c r="G284" s="37">
        <v>46122</v>
      </c>
      <c r="I284" s="38" t="str">
        <f t="shared" ca="1" si="67"/>
        <v>Rejoined</v>
      </c>
      <c r="N284" s="38" t="str">
        <f t="shared" ca="1" si="68"/>
        <v/>
      </c>
      <c r="O284" s="11" t="str">
        <f t="shared" si="69"/>
        <v/>
      </c>
    </row>
    <row r="285" spans="1:15" ht="15.6" x14ac:dyDescent="0.3">
      <c r="A285" s="2">
        <v>2887</v>
      </c>
      <c r="B285" s="1" t="s">
        <v>628</v>
      </c>
      <c r="C285" s="2" t="s">
        <v>14</v>
      </c>
      <c r="D285" s="5">
        <v>46124</v>
      </c>
      <c r="E285" s="61">
        <v>46143</v>
      </c>
      <c r="F285" s="1">
        <f t="shared" si="66"/>
        <v>20</v>
      </c>
      <c r="G285" s="37"/>
      <c r="I285" s="38" t="str">
        <f t="shared" ca="1" si="67"/>
        <v>Not Rejoined</v>
      </c>
      <c r="N285" s="38" t="str">
        <f t="shared" ca="1" si="68"/>
        <v/>
      </c>
      <c r="O285" s="11" t="str">
        <f t="shared" si="69"/>
        <v/>
      </c>
    </row>
    <row r="286" spans="1:15" ht="15.6" x14ac:dyDescent="0.3">
      <c r="A286" s="2">
        <v>1617</v>
      </c>
      <c r="B286" s="1" t="str">
        <f>IFERROR(VLOOKUP(A286,'[1]Master File'!$A$2:$C$312,3,0)," ")</f>
        <v>Mohammed Mubeen Mahmood Ali</v>
      </c>
      <c r="C286" s="41" t="s">
        <v>13</v>
      </c>
      <c r="D286" s="5">
        <v>46125</v>
      </c>
      <c r="E286" s="61">
        <v>46128</v>
      </c>
      <c r="F286" s="1">
        <f t="shared" si="66"/>
        <v>4</v>
      </c>
      <c r="G286" s="37">
        <v>46129</v>
      </c>
      <c r="I286" s="38" t="str">
        <f t="shared" ca="1" si="67"/>
        <v>Rejoined</v>
      </c>
      <c r="N286" s="38" t="str">
        <f t="shared" ca="1" si="68"/>
        <v/>
      </c>
      <c r="O286" s="11" t="str">
        <f t="shared" si="69"/>
        <v/>
      </c>
    </row>
    <row r="287" spans="1:15" ht="15.6" x14ac:dyDescent="0.3">
      <c r="A287" s="2">
        <v>2407</v>
      </c>
      <c r="B287" s="1" t="str">
        <f>IFERROR(VLOOKUP(A287,'[1]Master File'!$A$2:$C$312,3,0)," ")</f>
        <v>Radhakrishnan Ramankutty</v>
      </c>
      <c r="C287" s="41" t="s">
        <v>13</v>
      </c>
      <c r="D287" s="5">
        <v>46127</v>
      </c>
      <c r="E287" s="61">
        <v>46146</v>
      </c>
      <c r="F287" s="1">
        <f t="shared" si="66"/>
        <v>20</v>
      </c>
      <c r="G287" s="37">
        <v>46189</v>
      </c>
      <c r="I287" s="38" t="str">
        <f t="shared" ca="1" si="67"/>
        <v>Rejoined</v>
      </c>
      <c r="N287" s="38" t="str">
        <f t="shared" ca="1" si="68"/>
        <v/>
      </c>
      <c r="O287" s="11">
        <f t="shared" si="69"/>
        <v>43</v>
      </c>
    </row>
    <row r="288" spans="1:15" ht="15.6" x14ac:dyDescent="0.3">
      <c r="A288" s="2">
        <v>1856</v>
      </c>
      <c r="B288" s="1" t="str">
        <f>IFERROR(VLOOKUP(A288,'[1]Master File'!$A$2:$C$312,3,0)," ")</f>
        <v>Kumar Gautam Kamal Kishore Prasad</v>
      </c>
      <c r="C288" s="41" t="s">
        <v>13</v>
      </c>
      <c r="D288" s="5">
        <v>46125</v>
      </c>
      <c r="E288" s="61">
        <v>46139</v>
      </c>
      <c r="F288" s="1">
        <f t="shared" si="66"/>
        <v>15</v>
      </c>
      <c r="G288" s="37"/>
      <c r="I288" s="38" t="str">
        <f t="shared" ca="1" si="67"/>
        <v>Not Rejoined</v>
      </c>
      <c r="N288" s="38" t="str">
        <f t="shared" ca="1" si="68"/>
        <v/>
      </c>
      <c r="O288" s="11" t="str">
        <f t="shared" si="69"/>
        <v/>
      </c>
    </row>
    <row r="289" spans="1:16" ht="15.6" x14ac:dyDescent="0.3">
      <c r="A289" s="2">
        <v>2636</v>
      </c>
      <c r="B289" s="1" t="str">
        <f>IFERROR(VLOOKUP(A289,'[1]Master File'!$A$2:$C$312,3,0)," ")</f>
        <v>Sanjoga Thapa</v>
      </c>
      <c r="C289" s="2" t="s">
        <v>14</v>
      </c>
      <c r="D289" s="5">
        <v>46119</v>
      </c>
      <c r="E289" s="61">
        <v>46133</v>
      </c>
      <c r="F289" s="1">
        <f t="shared" si="66"/>
        <v>15</v>
      </c>
      <c r="G289" s="37">
        <v>46148</v>
      </c>
      <c r="I289" s="38" t="str">
        <f t="shared" ca="1" si="67"/>
        <v>Rejoined</v>
      </c>
      <c r="N289" s="38" t="str">
        <f t="shared" ca="1" si="68"/>
        <v/>
      </c>
      <c r="O289" s="11">
        <f t="shared" si="69"/>
        <v>15</v>
      </c>
    </row>
    <row r="290" spans="1:16" ht="15.6" x14ac:dyDescent="0.3">
      <c r="A290" s="40">
        <v>2845</v>
      </c>
      <c r="B290" s="36" t="s">
        <v>629</v>
      </c>
      <c r="C290" s="2" t="s">
        <v>14</v>
      </c>
      <c r="D290" s="41">
        <v>46132</v>
      </c>
      <c r="E290" s="62">
        <v>46143</v>
      </c>
      <c r="F290" s="36">
        <f t="shared" si="66"/>
        <v>12</v>
      </c>
      <c r="G290" s="37"/>
      <c r="I290" s="38" t="str">
        <f t="shared" ca="1" si="67"/>
        <v>Not Rejoined</v>
      </c>
      <c r="N290" s="38" t="str">
        <f t="shared" ca="1" si="68"/>
        <v/>
      </c>
      <c r="O290" s="39" t="str">
        <f t="shared" si="69"/>
        <v/>
      </c>
    </row>
    <row r="291" spans="1:16" ht="15.6" x14ac:dyDescent="0.3">
      <c r="A291" s="2">
        <v>2658</v>
      </c>
      <c r="B291" s="1" t="str">
        <f>IFERROR(VLOOKUP(A291,'[1]Master File'!$A$2:$C$312,3,0)," ")</f>
        <v>Satheesh Edassery</v>
      </c>
      <c r="C291" s="41" t="s">
        <v>13</v>
      </c>
      <c r="D291" s="5">
        <v>46131</v>
      </c>
      <c r="E291" s="61">
        <v>46190</v>
      </c>
      <c r="F291" s="1">
        <f t="shared" ref="F291:F307" si="70">IF(OR(D291="",E291 =""), "", E291 - D291+ 1)</f>
        <v>60</v>
      </c>
      <c r="G291" s="37"/>
      <c r="I291" s="38" t="str">
        <f t="shared" ref="I291:I307" ca="1" si="71">IF(AND(G291="", E291="", D291=""), "", IF(D291&gt;TODAY(), "Applied", IF(G291&lt;&gt;"", IF(G291&lt;E291, "Early Rejoin", "Rejoined"), IF(E291&gt;TODAY(), "On Leave", "Not Rejoined"))))</f>
        <v>Not Rejoined</v>
      </c>
      <c r="N291" s="38" t="str">
        <f t="shared" ref="N291:N307" ca="1" si="72">IF(AND(E291&lt;&gt;"", E291&gt;=TODAY(), E291&lt;=TODAY()+3), "Rejoin Follow Up", "")</f>
        <v/>
      </c>
      <c r="O291" s="11" t="str">
        <f t="shared" ref="O291:O320" si="73">IF(AND(G291&lt;&gt;"", G291 &gt; E291, (G291 - E291) &lt;&gt; 1), G291 - E291, "")</f>
        <v/>
      </c>
    </row>
    <row r="292" spans="1:16" ht="15.6" x14ac:dyDescent="0.3">
      <c r="A292" s="2">
        <v>1884</v>
      </c>
      <c r="B292" s="1" t="str">
        <f>IFERROR(VLOOKUP(A292,'[1]Master File'!$A$2:$C$312,3,0)," ")</f>
        <v>Akhin Varghese</v>
      </c>
      <c r="C292" s="41" t="s">
        <v>13</v>
      </c>
      <c r="D292" s="5">
        <v>46132</v>
      </c>
      <c r="E292" s="61">
        <v>46162</v>
      </c>
      <c r="F292" s="1">
        <f t="shared" si="70"/>
        <v>31</v>
      </c>
      <c r="G292" s="37">
        <v>46164</v>
      </c>
      <c r="I292" s="38" t="str">
        <f t="shared" ca="1" si="71"/>
        <v>Rejoined</v>
      </c>
      <c r="N292" s="38" t="str">
        <f t="shared" ca="1" si="72"/>
        <v/>
      </c>
      <c r="O292" s="11">
        <f t="shared" si="73"/>
        <v>2</v>
      </c>
    </row>
    <row r="293" spans="1:16" ht="15.6" x14ac:dyDescent="0.3">
      <c r="A293" s="2">
        <v>629</v>
      </c>
      <c r="B293" s="1" t="str">
        <f>IFERROR(VLOOKUP(A293,'[1]Master File'!$A$2:$C$312,3,0)," ")</f>
        <v>Amir Alam Khan Bahar Karam</v>
      </c>
      <c r="C293" s="41" t="s">
        <v>13</v>
      </c>
      <c r="D293" s="5">
        <v>46111</v>
      </c>
      <c r="E293" s="61">
        <v>46170</v>
      </c>
      <c r="F293" s="1">
        <f t="shared" si="70"/>
        <v>60</v>
      </c>
      <c r="G293" s="37" t="s">
        <v>593</v>
      </c>
      <c r="I293" s="38"/>
      <c r="N293" s="38"/>
      <c r="O293" s="11"/>
    </row>
    <row r="294" spans="1:16" ht="15.6" x14ac:dyDescent="0.3">
      <c r="A294" s="2">
        <v>2752</v>
      </c>
      <c r="B294" s="1" t="s">
        <v>630</v>
      </c>
      <c r="C294" s="2" t="s">
        <v>14</v>
      </c>
      <c r="D294" s="5">
        <v>46063</v>
      </c>
      <c r="E294" s="61">
        <v>46096</v>
      </c>
      <c r="F294" s="1">
        <f t="shared" si="70"/>
        <v>34</v>
      </c>
      <c r="G294" s="37">
        <v>46097</v>
      </c>
      <c r="I294" s="38" t="str">
        <f t="shared" ca="1" si="71"/>
        <v>Rejoined</v>
      </c>
      <c r="N294" s="38" t="str">
        <f t="shared" ca="1" si="72"/>
        <v/>
      </c>
      <c r="O294" s="11" t="str">
        <f t="shared" si="73"/>
        <v/>
      </c>
    </row>
    <row r="295" spans="1:16" ht="15.6" x14ac:dyDescent="0.3">
      <c r="A295" s="2">
        <v>1376</v>
      </c>
      <c r="B295" s="1" t="str">
        <f>IFERROR(VLOOKUP(A295,'[1]Master File'!$A$2:$C$312,3,0)," ")</f>
        <v>Vishnu Mohanan</v>
      </c>
      <c r="C295" s="41" t="s">
        <v>13</v>
      </c>
      <c r="D295" s="5">
        <v>46134</v>
      </c>
      <c r="E295" s="61">
        <v>46173</v>
      </c>
      <c r="F295" s="1">
        <f t="shared" si="70"/>
        <v>40</v>
      </c>
      <c r="G295" s="37"/>
      <c r="I295" s="38" t="str">
        <f t="shared" ca="1" si="71"/>
        <v>Not Rejoined</v>
      </c>
      <c r="N295" s="38" t="str">
        <f t="shared" ca="1" si="72"/>
        <v/>
      </c>
      <c r="O295" s="11" t="str">
        <f t="shared" si="73"/>
        <v/>
      </c>
    </row>
    <row r="296" spans="1:16" ht="15.6" x14ac:dyDescent="0.3">
      <c r="A296" s="2">
        <v>434</v>
      </c>
      <c r="B296" s="1" t="str">
        <f>IFERROR(VLOOKUP(A296,'[1]Master File'!$A$2:$C$312,3,0)," ")</f>
        <v>Liton Zamal Hossain</v>
      </c>
      <c r="C296" s="41" t="s">
        <v>13</v>
      </c>
      <c r="D296" s="5">
        <v>46150</v>
      </c>
      <c r="E296" s="61">
        <v>46211</v>
      </c>
      <c r="F296" s="1">
        <f t="shared" si="70"/>
        <v>62</v>
      </c>
      <c r="G296" s="37"/>
      <c r="I296" s="38" t="str">
        <f t="shared" ca="1" si="71"/>
        <v>On Leave</v>
      </c>
      <c r="N296" s="38" t="str">
        <f t="shared" ca="1" si="72"/>
        <v/>
      </c>
      <c r="O296" s="11" t="str">
        <f t="shared" si="73"/>
        <v/>
      </c>
    </row>
    <row r="297" spans="1:16" ht="15.6" x14ac:dyDescent="0.3">
      <c r="A297" s="2">
        <v>2743</v>
      </c>
      <c r="B297" s="1" t="s">
        <v>632</v>
      </c>
      <c r="C297" s="2" t="s">
        <v>631</v>
      </c>
      <c r="D297" s="5">
        <v>46078</v>
      </c>
      <c r="E297" s="61">
        <v>46089</v>
      </c>
      <c r="F297" s="1">
        <f t="shared" si="70"/>
        <v>12</v>
      </c>
      <c r="G297" s="37">
        <v>46090</v>
      </c>
      <c r="I297" s="38" t="str">
        <f t="shared" ca="1" si="71"/>
        <v>Rejoined</v>
      </c>
      <c r="N297" s="38" t="str">
        <f t="shared" ca="1" si="72"/>
        <v/>
      </c>
      <c r="O297" s="11" t="str">
        <f t="shared" si="73"/>
        <v/>
      </c>
    </row>
    <row r="298" spans="1:16" ht="15.6" x14ac:dyDescent="0.3">
      <c r="A298" s="2">
        <v>147</v>
      </c>
      <c r="B298" s="1" t="str">
        <f>IFERROR(VLOOKUP(A298,'[1]Master File'!$A$2:$C$312,3,0)," ")</f>
        <v xml:space="preserve">Md Mosharaf Hossain </v>
      </c>
      <c r="C298" s="41" t="s">
        <v>13</v>
      </c>
      <c r="D298" s="5">
        <v>46157</v>
      </c>
      <c r="E298" s="61">
        <v>46186</v>
      </c>
      <c r="F298" s="1">
        <f t="shared" si="70"/>
        <v>30</v>
      </c>
      <c r="G298" s="37">
        <v>46187</v>
      </c>
      <c r="I298" s="38" t="str">
        <f t="shared" ca="1" si="71"/>
        <v>Rejoined</v>
      </c>
      <c r="N298" s="38" t="str">
        <f t="shared" ca="1" si="72"/>
        <v/>
      </c>
      <c r="O298" s="11" t="str">
        <f t="shared" si="73"/>
        <v/>
      </c>
    </row>
    <row r="299" spans="1:16" ht="15.6" x14ac:dyDescent="0.3">
      <c r="A299" s="2">
        <v>2614</v>
      </c>
      <c r="B299" s="1" t="str">
        <f>IFERROR(VLOOKUP(A299,'[1]Master File'!$A$2:$C$312,3,0)," ")</f>
        <v>Manish Kumar Yadav</v>
      </c>
      <c r="C299" s="2" t="s">
        <v>14</v>
      </c>
      <c r="D299" s="5">
        <v>46135</v>
      </c>
      <c r="E299" s="61">
        <v>46149</v>
      </c>
      <c r="F299" s="1">
        <f t="shared" si="70"/>
        <v>15</v>
      </c>
      <c r="G299" s="37">
        <v>46162</v>
      </c>
      <c r="I299" s="38" t="str">
        <f t="shared" ca="1" si="71"/>
        <v>Rejoined</v>
      </c>
      <c r="N299" s="38" t="str">
        <f t="shared" ca="1" si="72"/>
        <v/>
      </c>
      <c r="O299" s="11">
        <f t="shared" si="73"/>
        <v>13</v>
      </c>
    </row>
    <row r="300" spans="1:16" ht="15.6" x14ac:dyDescent="0.3">
      <c r="A300" s="2">
        <v>227</v>
      </c>
      <c r="B300" s="1" t="str">
        <f>IFERROR(VLOOKUP(A300,'[1]Master File'!$A$2:$C$312,3,0)," ")</f>
        <v>Rezaul Karim Abdur Rouf</v>
      </c>
      <c r="C300" s="2" t="s">
        <v>14</v>
      </c>
      <c r="D300" s="5">
        <v>46056</v>
      </c>
      <c r="E300" s="61">
        <v>46085</v>
      </c>
      <c r="F300" s="1">
        <f t="shared" si="70"/>
        <v>30</v>
      </c>
      <c r="G300" s="37">
        <v>46143</v>
      </c>
      <c r="I300" s="38" t="str">
        <f t="shared" ca="1" si="71"/>
        <v>Rejoined</v>
      </c>
      <c r="N300" s="38" t="str">
        <f t="shared" ca="1" si="72"/>
        <v/>
      </c>
      <c r="O300" s="11">
        <f t="shared" si="73"/>
        <v>58</v>
      </c>
    </row>
    <row r="301" spans="1:16" ht="15.6" x14ac:dyDescent="0.3">
      <c r="A301" s="2">
        <v>2690</v>
      </c>
      <c r="B301" s="1" t="str">
        <f>IFERROR(VLOOKUP(A301,'[1]Master File'!$A$2:$C$312,3,0)," ")</f>
        <v>Joyce V Camposano</v>
      </c>
      <c r="C301" s="41" t="s">
        <v>13</v>
      </c>
      <c r="D301" s="5">
        <v>46084</v>
      </c>
      <c r="E301" s="61">
        <v>46099</v>
      </c>
      <c r="F301" s="1">
        <f t="shared" si="70"/>
        <v>16</v>
      </c>
      <c r="G301" s="37">
        <v>46100</v>
      </c>
      <c r="I301" s="38" t="str">
        <f t="shared" ca="1" si="71"/>
        <v>Rejoined</v>
      </c>
      <c r="N301" s="38" t="str">
        <f t="shared" ca="1" si="72"/>
        <v/>
      </c>
      <c r="O301" s="11" t="str">
        <f t="shared" si="73"/>
        <v/>
      </c>
    </row>
    <row r="302" spans="1:16" ht="15.6" x14ac:dyDescent="0.3">
      <c r="A302" s="2">
        <v>142</v>
      </c>
      <c r="B302" s="1" t="str">
        <f>IFERROR(VLOOKUP(A302,'[1]Master File'!$A$2:$C$312,3,0)," ")</f>
        <v>Mary Jaya Francis</v>
      </c>
      <c r="C302" s="41" t="s">
        <v>13</v>
      </c>
      <c r="D302" s="5">
        <v>46034</v>
      </c>
      <c r="E302" s="61">
        <v>46054</v>
      </c>
      <c r="F302" s="1">
        <f t="shared" si="70"/>
        <v>21</v>
      </c>
      <c r="G302" s="37">
        <v>46055</v>
      </c>
      <c r="I302" s="38" t="str">
        <f t="shared" ca="1" si="71"/>
        <v>Rejoined</v>
      </c>
      <c r="N302" s="38" t="str">
        <f t="shared" ca="1" si="72"/>
        <v/>
      </c>
      <c r="O302" s="11" t="str">
        <f t="shared" si="73"/>
        <v/>
      </c>
    </row>
    <row r="303" spans="1:16" ht="15.6" x14ac:dyDescent="0.3">
      <c r="A303" s="2">
        <v>2521</v>
      </c>
      <c r="B303" s="1" t="str">
        <f>IFERROR(VLOOKUP(A303,'[1]Master File'!$A$2:$C$312,3,0)," ")</f>
        <v>Bacha Khalid</v>
      </c>
      <c r="C303" s="2" t="s">
        <v>15</v>
      </c>
      <c r="D303" s="5">
        <v>46167</v>
      </c>
      <c r="E303" s="61">
        <v>46234</v>
      </c>
      <c r="F303" s="1">
        <f t="shared" si="70"/>
        <v>68</v>
      </c>
      <c r="G303" s="37"/>
      <c r="I303" s="38" t="str">
        <f t="shared" ca="1" si="71"/>
        <v>On Leave</v>
      </c>
      <c r="N303" s="38" t="str">
        <f t="shared" ca="1" si="72"/>
        <v/>
      </c>
      <c r="O303" s="11" t="str">
        <f t="shared" si="73"/>
        <v/>
      </c>
    </row>
    <row r="304" spans="1:16" ht="15.6" x14ac:dyDescent="0.3">
      <c r="A304" s="55">
        <v>2709</v>
      </c>
      <c r="B304" s="56" t="str">
        <f>IFERROR(VLOOKUP(A304,'[1]Master File'!$A$2:$C$312,3,0)," ")</f>
        <v>Sandeep Kumar Verma</v>
      </c>
      <c r="C304" s="55" t="s">
        <v>14</v>
      </c>
      <c r="D304" s="57">
        <v>46069</v>
      </c>
      <c r="E304" s="61"/>
      <c r="F304" s="53"/>
      <c r="G304" s="58">
        <v>46080</v>
      </c>
      <c r="I304" s="54" t="str">
        <f t="shared" ca="1" si="71"/>
        <v>Rejoined</v>
      </c>
      <c r="N304" s="38" t="str">
        <f t="shared" ca="1" si="72"/>
        <v/>
      </c>
      <c r="O304" s="11">
        <f t="shared" si="73"/>
        <v>46080</v>
      </c>
      <c r="P304" t="s">
        <v>645</v>
      </c>
    </row>
    <row r="305" spans="1:16" ht="15.6" x14ac:dyDescent="0.3">
      <c r="A305" s="2">
        <v>2243</v>
      </c>
      <c r="B305" s="1" t="str">
        <f>IFERROR(VLOOKUP(A305,'[1]Master File'!$A$2:$C$312,3,0)," ")</f>
        <v>Damburu Epili</v>
      </c>
      <c r="C305" s="2" t="s">
        <v>15</v>
      </c>
      <c r="D305" s="5">
        <v>46188</v>
      </c>
      <c r="E305" s="61">
        <v>46237</v>
      </c>
      <c r="F305" s="1">
        <f t="shared" si="70"/>
        <v>50</v>
      </c>
      <c r="G305" s="42"/>
      <c r="I305" s="35" t="str">
        <f t="shared" ca="1" si="71"/>
        <v>On Leave</v>
      </c>
      <c r="N305" s="38" t="str">
        <f t="shared" ca="1" si="72"/>
        <v/>
      </c>
      <c r="O305" s="11" t="str">
        <f t="shared" si="73"/>
        <v/>
      </c>
      <c r="P305" t="s">
        <v>650</v>
      </c>
    </row>
    <row r="306" spans="1:16" ht="15.6" x14ac:dyDescent="0.3">
      <c r="A306" s="2">
        <v>14</v>
      </c>
      <c r="B306" s="1" t="str">
        <f>IFERROR(VLOOKUP(A306,'[1]Master File'!$A$2:$C$312,3,0)," ")</f>
        <v>Afroz Ali Khan Khan</v>
      </c>
      <c r="C306" s="2" t="s">
        <v>15</v>
      </c>
      <c r="D306" s="5">
        <v>46160</v>
      </c>
      <c r="E306" s="61">
        <v>46175</v>
      </c>
      <c r="F306" s="1">
        <f t="shared" si="70"/>
        <v>16</v>
      </c>
      <c r="G306" s="42">
        <v>46176</v>
      </c>
      <c r="I306" s="35" t="str">
        <f t="shared" ca="1" si="71"/>
        <v>Rejoined</v>
      </c>
      <c r="N306" s="38" t="str">
        <f t="shared" ca="1" si="72"/>
        <v/>
      </c>
      <c r="O306" s="11" t="str">
        <f t="shared" si="73"/>
        <v/>
      </c>
    </row>
    <row r="307" spans="1:16" ht="15.6" x14ac:dyDescent="0.3">
      <c r="A307" s="40">
        <v>1263</v>
      </c>
      <c r="B307" s="36" t="str">
        <f>IFERROR(VLOOKUP(A307,'[1]Master File'!$A$2:$C$312,3,0)," ")</f>
        <v>Unni Chuttakatt</v>
      </c>
      <c r="C307" s="2" t="s">
        <v>15</v>
      </c>
      <c r="D307" s="41">
        <v>46174</v>
      </c>
      <c r="E307" s="62">
        <v>46192</v>
      </c>
      <c r="F307" s="36">
        <f t="shared" si="70"/>
        <v>19</v>
      </c>
      <c r="G307" s="42"/>
      <c r="I307" s="35" t="str">
        <f t="shared" ca="1" si="71"/>
        <v>Not Rejoined</v>
      </c>
      <c r="N307" s="38" t="str">
        <f t="shared" ca="1" si="72"/>
        <v/>
      </c>
      <c r="O307" s="11" t="str">
        <f t="shared" si="73"/>
        <v/>
      </c>
    </row>
    <row r="308" spans="1:16" ht="15.6" x14ac:dyDescent="0.3">
      <c r="A308" s="2">
        <v>34</v>
      </c>
      <c r="B308" s="1" t="str">
        <f>IFERROR(VLOOKUP(A308,'[1]Master File'!$A$2:$C$312,3,0)," ")</f>
        <v>Ashok Kumar Lekhu Ram</v>
      </c>
      <c r="C308" s="2" t="s">
        <v>15</v>
      </c>
      <c r="D308" s="41">
        <v>46181</v>
      </c>
      <c r="E308" s="62">
        <v>46213</v>
      </c>
      <c r="F308" s="1">
        <f t="shared" ref="F308" si="74">IF(OR(D308="",E308 =""), "", E308 - D308+ 1)</f>
        <v>33</v>
      </c>
      <c r="G308" s="42"/>
      <c r="I308" s="35" t="str">
        <f t="shared" ref="I308:I320" ca="1" si="75">IF(AND(G308="", E308="", D308=""), "", IF(D308&gt;TODAY(), "Applied", IF(G308&lt;&gt;"", IF(G308&lt;E308, "Early Rejoin", "Rejoined"), IF(E308&gt;TODAY(), "On Leave", "Not Rejoined"))))</f>
        <v>On Leave</v>
      </c>
      <c r="N308" s="38" t="str">
        <f t="shared" ref="N308:N320" ca="1" si="76">IF(AND(E308&lt;&gt;"", E308&gt;=TODAY(), E308&lt;=TODAY()+3), "Rejoin Follow Up", "")</f>
        <v/>
      </c>
      <c r="O308" s="11" t="str">
        <f t="shared" si="73"/>
        <v/>
      </c>
    </row>
    <row r="309" spans="1:16" ht="15.6" x14ac:dyDescent="0.3">
      <c r="A309" s="2">
        <v>142</v>
      </c>
      <c r="B309" s="1" t="str">
        <f>IFERROR(VLOOKUP(A309,'[1]Master File'!$A$2:$C$312,3,0)," ")</f>
        <v>Mary Jaya Francis</v>
      </c>
      <c r="C309" s="2" t="s">
        <v>15</v>
      </c>
      <c r="D309" s="41">
        <v>46034</v>
      </c>
      <c r="E309" s="62">
        <v>46054</v>
      </c>
      <c r="F309" s="1">
        <f t="shared" ref="F309:F320" si="77">IF(OR(D309="",E309 =""), "", E309 - D309+ 1)</f>
        <v>21</v>
      </c>
      <c r="G309" s="42">
        <v>46055</v>
      </c>
      <c r="I309" s="35" t="str">
        <f t="shared" ca="1" si="75"/>
        <v>Rejoined</v>
      </c>
      <c r="N309" s="38" t="str">
        <f t="shared" ca="1" si="76"/>
        <v/>
      </c>
      <c r="O309" s="11" t="str">
        <f t="shared" si="73"/>
        <v/>
      </c>
    </row>
    <row r="310" spans="1:16" ht="15.6" x14ac:dyDescent="0.3">
      <c r="A310" s="2">
        <v>279</v>
      </c>
      <c r="B310" s="1" t="str">
        <f>IFERROR(VLOOKUP(A310,'[1]Master File'!$A$2:$C$312,3,0)," ")</f>
        <v>Siful Islam Abdul Samad</v>
      </c>
      <c r="C310" s="2" t="s">
        <v>15</v>
      </c>
      <c r="D310" s="41">
        <v>46188</v>
      </c>
      <c r="E310" s="62">
        <v>46227</v>
      </c>
      <c r="F310" s="1">
        <f t="shared" si="77"/>
        <v>40</v>
      </c>
      <c r="G310" s="42"/>
      <c r="I310" s="35" t="str">
        <f t="shared" ca="1" si="75"/>
        <v>On Leave</v>
      </c>
      <c r="N310" s="38" t="str">
        <f t="shared" ca="1" si="76"/>
        <v/>
      </c>
      <c r="O310" s="11" t="str">
        <f t="shared" si="73"/>
        <v/>
      </c>
    </row>
    <row r="311" spans="1:16" ht="15.6" x14ac:dyDescent="0.3">
      <c r="A311" s="2">
        <v>2575</v>
      </c>
      <c r="B311" s="1" t="str">
        <f>IFERROR(VLOOKUP(A311,'[1]Master File'!$A$2:$C$312,3,0)," ")</f>
        <v>Ahmed Abdul Latheef Nijar</v>
      </c>
      <c r="C311" s="2" t="s">
        <v>648</v>
      </c>
      <c r="D311" s="41">
        <v>46139</v>
      </c>
      <c r="E311" s="62">
        <v>46168</v>
      </c>
      <c r="F311" s="1">
        <f t="shared" si="77"/>
        <v>30</v>
      </c>
      <c r="G311" s="42"/>
      <c r="I311" s="35" t="str">
        <f t="shared" ca="1" si="75"/>
        <v>Not Rejoined</v>
      </c>
      <c r="N311" s="38" t="str">
        <f t="shared" ca="1" si="76"/>
        <v/>
      </c>
      <c r="O311" s="11" t="str">
        <f t="shared" si="73"/>
        <v/>
      </c>
    </row>
    <row r="312" spans="1:16" ht="15.6" x14ac:dyDescent="0.3">
      <c r="A312" s="2">
        <v>279</v>
      </c>
      <c r="B312" s="1" t="str">
        <f>IFERROR(VLOOKUP(A312,'[1]Master File'!$A$2:$C$312,3,0)," ")</f>
        <v>Siful Islam Abdul Samad</v>
      </c>
      <c r="C312" s="2" t="s">
        <v>15</v>
      </c>
      <c r="D312" s="41">
        <v>46188</v>
      </c>
      <c r="E312" s="62">
        <v>46227</v>
      </c>
      <c r="F312" s="1">
        <f t="shared" si="77"/>
        <v>40</v>
      </c>
      <c r="G312" s="42"/>
      <c r="I312" s="35" t="str">
        <f t="shared" ca="1" si="75"/>
        <v>On Leave</v>
      </c>
      <c r="N312" s="38" t="str">
        <f t="shared" ca="1" si="76"/>
        <v/>
      </c>
      <c r="O312" s="11" t="str">
        <f t="shared" si="73"/>
        <v/>
      </c>
    </row>
    <row r="313" spans="1:16" ht="15.6" x14ac:dyDescent="0.3">
      <c r="A313" s="2">
        <v>2406</v>
      </c>
      <c r="B313" s="1" t="str">
        <f>IFERROR(VLOOKUP(A313,'[1]Master File'!$A$2:$C$312,3,0)," ")</f>
        <v>Alben Johnson</v>
      </c>
      <c r="C313" s="2" t="s">
        <v>15</v>
      </c>
      <c r="D313" s="41">
        <v>46174</v>
      </c>
      <c r="E313" s="62">
        <v>46181</v>
      </c>
      <c r="F313" s="1">
        <f t="shared" si="77"/>
        <v>8</v>
      </c>
      <c r="G313" s="42"/>
      <c r="I313" s="35" t="str">
        <f t="shared" ca="1" si="75"/>
        <v>Not Rejoined</v>
      </c>
      <c r="N313" s="38" t="str">
        <f t="shared" ca="1" si="76"/>
        <v/>
      </c>
      <c r="O313" s="11" t="str">
        <f t="shared" si="73"/>
        <v/>
      </c>
    </row>
    <row r="314" spans="1:16" ht="15.6" x14ac:dyDescent="0.3">
      <c r="A314" s="2">
        <v>333</v>
      </c>
      <c r="B314" s="1" t="str">
        <f>IFERROR(VLOOKUP(A314,'[1]Master File'!$A$2:$C$312,3,0)," ")</f>
        <v>Zohirul Islam Nuruzzaman</v>
      </c>
      <c r="C314" s="2" t="s">
        <v>646</v>
      </c>
      <c r="D314" s="41">
        <v>46174</v>
      </c>
      <c r="E314" s="62">
        <v>46207</v>
      </c>
      <c r="F314" s="1">
        <f t="shared" si="77"/>
        <v>34</v>
      </c>
      <c r="G314" s="42"/>
      <c r="I314" s="35" t="str">
        <f t="shared" ca="1" si="75"/>
        <v>On Leave</v>
      </c>
      <c r="N314" s="38" t="str">
        <f t="shared" ca="1" si="76"/>
        <v/>
      </c>
      <c r="O314" s="11" t="str">
        <f t="shared" si="73"/>
        <v/>
      </c>
    </row>
    <row r="315" spans="1:16" ht="15.6" x14ac:dyDescent="0.3">
      <c r="A315" s="2">
        <v>2848</v>
      </c>
      <c r="B315" s="1" t="s">
        <v>647</v>
      </c>
      <c r="C315" s="2" t="s">
        <v>14</v>
      </c>
      <c r="D315" s="41">
        <v>46139</v>
      </c>
      <c r="E315" s="62">
        <v>46153</v>
      </c>
      <c r="F315" s="1">
        <f t="shared" si="77"/>
        <v>15</v>
      </c>
      <c r="G315" s="42"/>
      <c r="I315" s="35" t="str">
        <f t="shared" ca="1" si="75"/>
        <v>Not Rejoined</v>
      </c>
      <c r="N315" s="38" t="str">
        <f t="shared" ca="1" si="76"/>
        <v/>
      </c>
      <c r="O315" s="11" t="str">
        <f t="shared" si="73"/>
        <v/>
      </c>
    </row>
    <row r="316" spans="1:16" ht="15.6" x14ac:dyDescent="0.3">
      <c r="A316" s="2">
        <v>1417</v>
      </c>
      <c r="B316" s="1" t="str">
        <f>IFERROR(VLOOKUP(A316,'[1]Master File'!$A$2:$C$312,3,0)," ")</f>
        <v>Nawab Afaque Mohammed Khan</v>
      </c>
      <c r="C316" s="2" t="s">
        <v>601</v>
      </c>
      <c r="D316" s="41">
        <v>46153</v>
      </c>
      <c r="E316" s="62">
        <v>46182</v>
      </c>
      <c r="F316" s="1">
        <f>IF(OR(D316="",E316 =""), "", E316 - D316+ 1)</f>
        <v>30</v>
      </c>
      <c r="G316" s="42"/>
      <c r="I316" s="35" t="str">
        <f ca="1">IF(AND(G316="", E316="", D316=""), "", IF(D316&gt;TODAY(), "Applied", IF(G316&lt;&gt;"", IF(G316&lt;E316, "Early Rejoin", "Rejoined"), IF(E316&gt;TODAY(), "On Leave", "Not Rejoined"))))</f>
        <v>Not Rejoined</v>
      </c>
      <c r="N316" s="38" t="str">
        <f ca="1">IF(AND(E316&lt;&gt;"", E316&gt;=TODAY(), E316&lt;=TODAY()+3), "Rejoin Follow Up", "")</f>
        <v/>
      </c>
      <c r="O316" s="11" t="str">
        <f>IF(AND(G316&lt;&gt;"", G316 &gt; E316, (G316 - E316) &lt;&gt; 1), G316 - E316, "")</f>
        <v/>
      </c>
    </row>
    <row r="317" spans="1:16" ht="15.6" x14ac:dyDescent="0.3">
      <c r="A317" s="2">
        <v>2540</v>
      </c>
      <c r="B317" s="1" t="str">
        <f>IFERROR(VLOOKUP(A317,'[1]Master File'!$A$2:$C$312,3,0)," ")</f>
        <v>Md Amir Ali</v>
      </c>
      <c r="C317" s="2" t="s">
        <v>15</v>
      </c>
      <c r="D317" s="41">
        <v>46193</v>
      </c>
      <c r="E317" s="62">
        <v>46253</v>
      </c>
      <c r="F317" s="1">
        <f t="shared" ref="F317" si="78">IF(OR(D317="",E317 =""), "", E317 - D317+ 1)</f>
        <v>61</v>
      </c>
      <c r="G317" s="42"/>
      <c r="I317" s="35" t="str">
        <f t="shared" ref="I317" ca="1" si="79">IF(AND(G317="", E317="", D317=""), "", IF(D317&gt;TODAY(), "Applied", IF(G317&lt;&gt;"", IF(G317&lt;E317, "Early Rejoin", "Rejoined"), IF(E317&gt;TODAY(), "On Leave", "Not Rejoined"))))</f>
        <v>On Leave</v>
      </c>
      <c r="N317" s="38" t="str">
        <f t="shared" ref="N317" ca="1" si="80">IF(AND(E317&lt;&gt;"", E317&gt;=TODAY(), E317&lt;=TODAY()+3), "Rejoin Follow Up", "")</f>
        <v/>
      </c>
      <c r="O317" s="11" t="str">
        <f t="shared" ref="O317" si="81">IF(AND(G317&lt;&gt;"", G317 &gt; E317, (G317 - E317) &lt;&gt; 1), G317 - E317, "")</f>
        <v/>
      </c>
    </row>
    <row r="318" spans="1:16" ht="15.6" x14ac:dyDescent="0.3">
      <c r="A318" s="2">
        <v>2542</v>
      </c>
      <c r="B318" s="1" t="str">
        <f>IFERROR(VLOOKUP(A318,'[1]Master File'!$A$2:$C$312,3,0)," ")</f>
        <v>Lokman Madbor</v>
      </c>
      <c r="C318" s="2" t="s">
        <v>15</v>
      </c>
      <c r="D318" s="41">
        <v>46193</v>
      </c>
      <c r="E318" s="62">
        <v>46254</v>
      </c>
      <c r="F318" s="1">
        <f t="shared" si="77"/>
        <v>62</v>
      </c>
      <c r="G318" s="42"/>
      <c r="I318" s="35" t="str">
        <f t="shared" ca="1" si="75"/>
        <v>On Leave</v>
      </c>
      <c r="N318" s="38" t="str">
        <f t="shared" ca="1" si="76"/>
        <v/>
      </c>
      <c r="O318" s="11" t="str">
        <f t="shared" si="73"/>
        <v/>
      </c>
    </row>
    <row r="319" spans="1:16" ht="15.6" x14ac:dyDescent="0.3">
      <c r="A319" s="2">
        <v>235</v>
      </c>
      <c r="B319" s="1" t="str">
        <f>IFERROR(VLOOKUP(A319,'[1]Master File'!$A$2:$C$312,3,0)," ")</f>
        <v>Saiyed Anwar Hussain Rizvi</v>
      </c>
      <c r="C319" s="2" t="s">
        <v>15</v>
      </c>
      <c r="D319" s="41">
        <v>46160</v>
      </c>
      <c r="E319" s="62">
        <v>46167</v>
      </c>
      <c r="F319" s="1">
        <f t="shared" si="77"/>
        <v>8</v>
      </c>
      <c r="G319" s="42">
        <v>46174</v>
      </c>
      <c r="I319" s="35" t="str">
        <f t="shared" ca="1" si="75"/>
        <v>Rejoined</v>
      </c>
      <c r="N319" s="38" t="str">
        <f t="shared" ca="1" si="76"/>
        <v/>
      </c>
      <c r="O319" s="11">
        <f t="shared" si="73"/>
        <v>7</v>
      </c>
    </row>
    <row r="320" spans="1:16" ht="15.6" x14ac:dyDescent="0.3">
      <c r="A320" s="2">
        <v>2787</v>
      </c>
      <c r="B320" s="1" t="s">
        <v>542</v>
      </c>
      <c r="C320" s="2" t="s">
        <v>14</v>
      </c>
      <c r="D320" s="41">
        <v>46157</v>
      </c>
      <c r="E320" s="62">
        <v>46166</v>
      </c>
      <c r="F320" s="1">
        <f t="shared" si="77"/>
        <v>10</v>
      </c>
      <c r="G320" s="42"/>
      <c r="I320" s="35" t="str">
        <f t="shared" ca="1" si="75"/>
        <v>Not Rejoined</v>
      </c>
      <c r="N320" s="38" t="str">
        <f t="shared" ca="1" si="76"/>
        <v/>
      </c>
      <c r="O320" s="11" t="str">
        <f t="shared" si="73"/>
        <v/>
      </c>
    </row>
    <row r="321" spans="1:15" ht="15.6" x14ac:dyDescent="0.3">
      <c r="A321" s="2">
        <v>2594</v>
      </c>
      <c r="B321" s="1" t="str">
        <f>IFERROR(VLOOKUP(A321,'[1]Master File'!$A$2:$C$312,3,0)," ")</f>
        <v>Naveed Shams Ur Rehman</v>
      </c>
      <c r="C321" s="2" t="s">
        <v>15</v>
      </c>
      <c r="D321" s="41">
        <v>45732</v>
      </c>
      <c r="E321" s="62"/>
      <c r="F321" s="1" t="str">
        <f t="shared" ref="F321:F340" si="82">IF(OR(D321="",E321 =""), "", E321 - D321+ 1)</f>
        <v/>
      </c>
      <c r="G321" s="42">
        <v>46143</v>
      </c>
      <c r="I321" s="35" t="str">
        <f t="shared" ref="I321:I340" ca="1" si="83">IF(AND(G321="", E321="", D321=""), "", IF(D321&gt;TODAY(), "Applied", IF(G321&lt;&gt;"", IF(G321&lt;E321, "Early Rejoin", "Rejoined"), IF(E321&gt;TODAY(), "On Leave", "Not Rejoined"))))</f>
        <v>Rejoined</v>
      </c>
      <c r="N321" s="38" t="str">
        <f t="shared" ref="N321:N331" ca="1" si="84">IF(AND(E321&lt;&gt;"", E321&gt;=TODAY(), E321&lt;=TODAY()+3), "Rejoin Follow Up", "")</f>
        <v/>
      </c>
      <c r="O321" s="11">
        <f t="shared" ref="O321:O331" si="85">IF(AND(G321&lt;&gt;"", G321 &gt; E321, (G321 - E321) &lt;&gt; 1), G321 - E321, "")</f>
        <v>46143</v>
      </c>
    </row>
    <row r="322" spans="1:15" ht="15.6" x14ac:dyDescent="0.3">
      <c r="A322" s="2">
        <v>2896</v>
      </c>
      <c r="B322" s="1" t="s">
        <v>649</v>
      </c>
      <c r="C322" s="2" t="s">
        <v>603</v>
      </c>
      <c r="D322" s="41">
        <v>46146</v>
      </c>
      <c r="E322" s="62">
        <v>46167</v>
      </c>
      <c r="F322" s="1">
        <f t="shared" si="82"/>
        <v>22</v>
      </c>
      <c r="G322" s="42"/>
      <c r="I322" s="35" t="str">
        <f t="shared" ca="1" si="83"/>
        <v>Not Rejoined</v>
      </c>
      <c r="N322" s="38" t="str">
        <f t="shared" ca="1" si="84"/>
        <v/>
      </c>
      <c r="O322" s="11" t="str">
        <f t="shared" si="85"/>
        <v/>
      </c>
    </row>
    <row r="323" spans="1:15" ht="15.6" x14ac:dyDescent="0.3">
      <c r="A323" s="2">
        <v>2397</v>
      </c>
      <c r="B323" s="1" t="str">
        <f>IFERROR(VLOOKUP(A323,'[1]Master File'!$A$2:$C$312,3,0)," ")</f>
        <v>Justin Jose</v>
      </c>
      <c r="C323" s="2" t="s">
        <v>15</v>
      </c>
      <c r="D323" s="41">
        <v>46174</v>
      </c>
      <c r="E323" s="61">
        <v>46204</v>
      </c>
      <c r="F323" s="1">
        <f t="shared" si="82"/>
        <v>31</v>
      </c>
      <c r="G323" s="9"/>
      <c r="I323" s="10" t="str">
        <f t="shared" ca="1" si="83"/>
        <v>On Leave</v>
      </c>
      <c r="N323" s="38" t="str">
        <f t="shared" ca="1" si="84"/>
        <v/>
      </c>
      <c r="O323" s="11" t="str">
        <f t="shared" si="85"/>
        <v/>
      </c>
    </row>
    <row r="324" spans="1:15" ht="15.6" x14ac:dyDescent="0.3">
      <c r="A324" s="2">
        <v>2340</v>
      </c>
      <c r="B324" s="1" t="s">
        <v>324</v>
      </c>
      <c r="C324" s="2" t="s">
        <v>601</v>
      </c>
      <c r="D324" s="5">
        <v>46195</v>
      </c>
      <c r="E324" s="61">
        <v>46256</v>
      </c>
      <c r="F324" s="1">
        <f t="shared" si="82"/>
        <v>62</v>
      </c>
      <c r="G324" s="42"/>
      <c r="I324" s="35" t="str">
        <f t="shared" ca="1" si="83"/>
        <v>On Leave</v>
      </c>
      <c r="N324" s="38" t="str">
        <f t="shared" ca="1" si="84"/>
        <v/>
      </c>
      <c r="O324" s="11" t="str">
        <f t="shared" si="85"/>
        <v/>
      </c>
    </row>
    <row r="325" spans="1:15" ht="15.6" x14ac:dyDescent="0.3">
      <c r="A325" s="2">
        <v>331</v>
      </c>
      <c r="B325" s="1" t="str">
        <f>IFERROR(VLOOKUP(A325,'[1]Master File'!$A$2:$C$312,3,0)," ")</f>
        <v>Zia Rahman Siraj Uddin</v>
      </c>
      <c r="C325" s="2" t="s">
        <v>601</v>
      </c>
      <c r="D325" s="5">
        <v>46195</v>
      </c>
      <c r="E325" s="61">
        <v>46256</v>
      </c>
      <c r="F325" s="1">
        <f t="shared" si="82"/>
        <v>62</v>
      </c>
      <c r="G325" s="42"/>
      <c r="I325" s="35" t="str">
        <f t="shared" ca="1" si="83"/>
        <v>On Leave</v>
      </c>
      <c r="N325" s="38" t="str">
        <f t="shared" ca="1" si="84"/>
        <v/>
      </c>
      <c r="O325" s="11" t="str">
        <f t="shared" si="85"/>
        <v/>
      </c>
    </row>
    <row r="326" spans="1:15" ht="15.6" x14ac:dyDescent="0.3">
      <c r="A326" s="2">
        <v>2542</v>
      </c>
      <c r="B326" s="1" t="str">
        <f>IFERROR(VLOOKUP(A326,'[1]Master File'!$A$2:$C$312,3,0)," ")</f>
        <v>Lokman Madbor</v>
      </c>
      <c r="C326" s="2" t="s">
        <v>601</v>
      </c>
      <c r="D326" s="5">
        <v>46195</v>
      </c>
      <c r="E326" s="61">
        <v>46256</v>
      </c>
      <c r="F326" s="1">
        <f t="shared" si="82"/>
        <v>62</v>
      </c>
      <c r="G326" s="42"/>
      <c r="I326" s="35" t="str">
        <f t="shared" ca="1" si="83"/>
        <v>On Leave</v>
      </c>
      <c r="N326" s="38" t="str">
        <f t="shared" ca="1" si="84"/>
        <v/>
      </c>
      <c r="O326" s="11" t="str">
        <f t="shared" si="85"/>
        <v/>
      </c>
    </row>
    <row r="327" spans="1:15" ht="15.6" x14ac:dyDescent="0.3">
      <c r="A327" s="55">
        <v>2602</v>
      </c>
      <c r="B327" s="56" t="s">
        <v>368</v>
      </c>
      <c r="C327" s="55" t="s">
        <v>15</v>
      </c>
      <c r="D327" s="57">
        <v>46034</v>
      </c>
      <c r="E327" s="64">
        <v>46052</v>
      </c>
      <c r="F327" s="56">
        <f t="shared" si="82"/>
        <v>19</v>
      </c>
      <c r="G327" s="42"/>
      <c r="I327" s="35" t="str">
        <f t="shared" ca="1" si="83"/>
        <v>Not Rejoined</v>
      </c>
      <c r="N327" s="38" t="str">
        <f t="shared" ca="1" si="84"/>
        <v/>
      </c>
      <c r="O327" s="11" t="str">
        <f t="shared" si="85"/>
        <v/>
      </c>
    </row>
    <row r="328" spans="1:15" ht="15.6" x14ac:dyDescent="0.3">
      <c r="A328" s="55">
        <v>2602</v>
      </c>
      <c r="B328" s="56" t="s">
        <v>368</v>
      </c>
      <c r="C328" s="55" t="s">
        <v>15</v>
      </c>
      <c r="D328" s="57">
        <v>46095</v>
      </c>
      <c r="E328" s="64">
        <v>46129</v>
      </c>
      <c r="F328" s="56">
        <f t="shared" si="82"/>
        <v>35</v>
      </c>
      <c r="G328" s="42"/>
      <c r="I328" s="35" t="str">
        <f t="shared" ca="1" si="83"/>
        <v>Not Rejoined</v>
      </c>
      <c r="N328" s="38" t="str">
        <f t="shared" ca="1" si="84"/>
        <v/>
      </c>
      <c r="O328" s="11" t="str">
        <f t="shared" si="85"/>
        <v/>
      </c>
    </row>
    <row r="329" spans="1:15" ht="15.6" x14ac:dyDescent="0.3">
      <c r="A329" s="2">
        <v>2645</v>
      </c>
      <c r="B329" s="1" t="str">
        <f>IFERROR(VLOOKUP(A329,'[1]Master File'!$A$2:$C$312,3,0)," ")</f>
        <v>Md Imran Ali</v>
      </c>
      <c r="C329" s="2" t="s">
        <v>15</v>
      </c>
      <c r="D329" s="5">
        <v>46154</v>
      </c>
      <c r="E329" s="61">
        <v>46221</v>
      </c>
      <c r="F329" s="1">
        <f t="shared" si="82"/>
        <v>68</v>
      </c>
      <c r="G329" s="42"/>
      <c r="I329" s="35" t="str">
        <f t="shared" ca="1" si="83"/>
        <v>On Leave</v>
      </c>
      <c r="N329" s="38" t="str">
        <f t="shared" ca="1" si="84"/>
        <v/>
      </c>
      <c r="O329" s="11" t="str">
        <f t="shared" si="85"/>
        <v/>
      </c>
    </row>
    <row r="330" spans="1:15" ht="15.6" x14ac:dyDescent="0.3">
      <c r="A330" s="2">
        <v>2078</v>
      </c>
      <c r="B330" s="1" t="str">
        <f>IFERROR(VLOOKUP(A330,'[1]Master File'!$A$2:$C$312,3,0)," ")</f>
        <v>Jabeena Ponmanichi Baboo</v>
      </c>
      <c r="C330" s="2" t="s">
        <v>15</v>
      </c>
      <c r="D330" s="5">
        <v>46195</v>
      </c>
      <c r="E330" s="61">
        <v>46227</v>
      </c>
      <c r="F330" s="1">
        <f t="shared" si="82"/>
        <v>33</v>
      </c>
      <c r="G330" s="42"/>
      <c r="I330" s="35" t="str">
        <f t="shared" ca="1" si="83"/>
        <v>On Leave</v>
      </c>
      <c r="N330" s="38" t="str">
        <f t="shared" ca="1" si="84"/>
        <v/>
      </c>
      <c r="O330" s="11" t="str">
        <f t="shared" si="85"/>
        <v/>
      </c>
    </row>
    <row r="331" spans="1:15" ht="15.6" x14ac:dyDescent="0.3">
      <c r="A331" s="2">
        <v>166</v>
      </c>
      <c r="B331" s="1" t="str">
        <f>IFERROR(VLOOKUP(A331,'[1]Master File'!$A$2:$C$312,3,0)," ")</f>
        <v>Muhammad Inam Noor Muhammad</v>
      </c>
      <c r="C331" s="2" t="s">
        <v>15</v>
      </c>
      <c r="D331" s="57">
        <v>46162</v>
      </c>
      <c r="E331" s="64">
        <v>46223</v>
      </c>
      <c r="F331" s="1">
        <f t="shared" si="82"/>
        <v>62</v>
      </c>
      <c r="G331" s="42"/>
      <c r="I331" s="35" t="str">
        <f t="shared" ca="1" si="83"/>
        <v>On Leave</v>
      </c>
      <c r="N331" s="38" t="str">
        <f t="shared" ca="1" si="84"/>
        <v/>
      </c>
      <c r="O331" s="11" t="str">
        <f t="shared" si="85"/>
        <v/>
      </c>
    </row>
    <row r="332" spans="1:15" ht="15.6" x14ac:dyDescent="0.3">
      <c r="A332" s="2">
        <v>583</v>
      </c>
      <c r="B332" s="1" t="str">
        <f>IFERROR(VLOOKUP(A332,'[1]Master File'!$A$2:$C$312,3,0)," ")</f>
        <v>Jafar Hqbal Sharif Mannan Sharif</v>
      </c>
      <c r="C332" s="2" t="s">
        <v>15</v>
      </c>
      <c r="D332" s="5">
        <v>46216</v>
      </c>
      <c r="E332" s="61">
        <v>46275</v>
      </c>
      <c r="F332" s="1">
        <f t="shared" si="82"/>
        <v>60</v>
      </c>
      <c r="G332" s="42"/>
      <c r="I332" s="35" t="str">
        <f t="shared" ca="1" si="83"/>
        <v>Applied</v>
      </c>
      <c r="N332" s="38"/>
      <c r="O332" s="11"/>
    </row>
    <row r="333" spans="1:15" ht="15.6" x14ac:dyDescent="0.3">
      <c r="A333" s="2">
        <v>2568</v>
      </c>
      <c r="B333" s="1" t="str">
        <f>IFERROR(VLOOKUP(A333,'[1]Master File'!$A$2:$C$312,3,0)," ")</f>
        <v>Dinesh Kumar Bhardwaj</v>
      </c>
      <c r="C333" s="2" t="s">
        <v>15</v>
      </c>
      <c r="D333" s="5">
        <v>46195</v>
      </c>
      <c r="E333" s="61">
        <v>46255</v>
      </c>
      <c r="F333" s="1">
        <f t="shared" si="82"/>
        <v>61</v>
      </c>
      <c r="G333" s="9"/>
      <c r="I333" s="35" t="str">
        <f t="shared" ca="1" si="83"/>
        <v>On Leave</v>
      </c>
      <c r="N333" s="38"/>
      <c r="O333" s="11"/>
    </row>
    <row r="334" spans="1:15" ht="15.6" x14ac:dyDescent="0.3">
      <c r="A334" s="2">
        <v>2800</v>
      </c>
      <c r="B334" s="1" t="s">
        <v>553</v>
      </c>
      <c r="C334" s="2" t="s">
        <v>15</v>
      </c>
      <c r="D334" s="5">
        <v>46145</v>
      </c>
      <c r="E334" s="61">
        <v>46147</v>
      </c>
      <c r="F334" s="1">
        <f t="shared" si="82"/>
        <v>3</v>
      </c>
      <c r="G334" s="42">
        <v>46148</v>
      </c>
      <c r="I334" s="35" t="str">
        <f t="shared" ca="1" si="83"/>
        <v>Rejoined</v>
      </c>
      <c r="N334" s="38"/>
      <c r="O334" s="11"/>
    </row>
    <row r="335" spans="1:15" ht="15.6" x14ac:dyDescent="0.3">
      <c r="A335" s="2">
        <v>2689</v>
      </c>
      <c r="B335" s="1" t="str">
        <f>IFERROR(VLOOKUP(A335,'[1]Master File'!$A$2:$C$312,3,0)," ")</f>
        <v>Mohammad Salman</v>
      </c>
      <c r="C335" s="2" t="s">
        <v>15</v>
      </c>
      <c r="D335" s="5">
        <v>46216</v>
      </c>
      <c r="E335" s="61">
        <v>46248</v>
      </c>
      <c r="F335" s="1">
        <f t="shared" si="82"/>
        <v>33</v>
      </c>
      <c r="G335" s="42"/>
      <c r="I335" s="35" t="str">
        <f t="shared" ca="1" si="83"/>
        <v>Applied</v>
      </c>
      <c r="N335" s="38"/>
      <c r="O335" s="11"/>
    </row>
    <row r="336" spans="1:15" ht="15.6" x14ac:dyDescent="0.3">
      <c r="A336" s="2">
        <v>2790</v>
      </c>
      <c r="B336" s="1" t="s">
        <v>544</v>
      </c>
      <c r="C336" s="2" t="s">
        <v>15</v>
      </c>
      <c r="D336" s="5">
        <v>46195</v>
      </c>
      <c r="E336" s="61">
        <v>46224</v>
      </c>
      <c r="F336" s="1">
        <f t="shared" si="82"/>
        <v>30</v>
      </c>
      <c r="G336" s="42"/>
      <c r="I336" s="35" t="str">
        <f t="shared" ca="1" si="83"/>
        <v>On Leave</v>
      </c>
      <c r="N336" s="38"/>
      <c r="O336" s="11"/>
    </row>
    <row r="337" spans="1:15" ht="15.6" x14ac:dyDescent="0.3">
      <c r="A337" s="2">
        <v>2780</v>
      </c>
      <c r="B337" s="1" t="s">
        <v>536</v>
      </c>
      <c r="C337" s="2" t="s">
        <v>15</v>
      </c>
      <c r="D337" s="5">
        <v>46223</v>
      </c>
      <c r="E337" s="61">
        <v>46252</v>
      </c>
      <c r="F337" s="1">
        <f t="shared" si="82"/>
        <v>30</v>
      </c>
      <c r="G337" s="42"/>
      <c r="I337" s="35" t="str">
        <f t="shared" ca="1" si="83"/>
        <v>Applied</v>
      </c>
      <c r="N337" s="38"/>
      <c r="O337" s="11"/>
    </row>
    <row r="338" spans="1:15" ht="15.6" x14ac:dyDescent="0.3">
      <c r="A338" s="2">
        <v>2617</v>
      </c>
      <c r="B338" s="1" t="str">
        <f>IFERROR(VLOOKUP(A338,'[1]Master File'!$A$2:$C$312,3,0)," ")</f>
        <v>Masood Ur Rahman</v>
      </c>
      <c r="C338" s="2" t="s">
        <v>15</v>
      </c>
      <c r="D338" s="5">
        <v>46181</v>
      </c>
      <c r="E338" s="61">
        <v>46241</v>
      </c>
      <c r="F338" s="1">
        <f t="shared" si="82"/>
        <v>61</v>
      </c>
      <c r="G338" s="42"/>
      <c r="I338" s="35" t="str">
        <f t="shared" ca="1" si="83"/>
        <v>On Leave</v>
      </c>
      <c r="N338" s="38"/>
      <c r="O338" s="11"/>
    </row>
    <row r="339" spans="1:15" ht="15.6" x14ac:dyDescent="0.3">
      <c r="A339" s="2">
        <v>23</v>
      </c>
      <c r="B339" s="1" t="str">
        <f>IFERROR(VLOOKUP(A339,'[1]Master File'!$A$2:$C$312,3,0)," ")</f>
        <v>Amanutullah Khan</v>
      </c>
      <c r="C339" s="2" t="s">
        <v>15</v>
      </c>
      <c r="D339" s="5">
        <v>46181</v>
      </c>
      <c r="E339" s="61">
        <v>46240</v>
      </c>
      <c r="F339" s="1">
        <f t="shared" si="82"/>
        <v>60</v>
      </c>
      <c r="G339" s="42"/>
      <c r="I339" s="35" t="str">
        <f t="shared" ca="1" si="83"/>
        <v>On Leave</v>
      </c>
      <c r="N339" s="38"/>
      <c r="O339" s="11"/>
    </row>
    <row r="340" spans="1:15" ht="15.6" x14ac:dyDescent="0.3">
      <c r="A340" s="2">
        <v>999</v>
      </c>
      <c r="B340" s="1" t="str">
        <f>IFERROR(VLOOKUP(A340,'[1]Master File'!$A$2:$C$312,3,0)," ")</f>
        <v xml:space="preserve">Gul Meen Khan Lal Meer Khan </v>
      </c>
      <c r="C340" s="2" t="s">
        <v>651</v>
      </c>
      <c r="D340" s="5">
        <v>46186</v>
      </c>
      <c r="E340" s="61">
        <v>46195</v>
      </c>
      <c r="F340" s="1">
        <f t="shared" si="82"/>
        <v>10</v>
      </c>
      <c r="G340" s="42">
        <v>46195</v>
      </c>
      <c r="I340" s="35" t="str">
        <f t="shared" ca="1" si="83"/>
        <v>Rejoined</v>
      </c>
      <c r="N340" s="38"/>
      <c r="O340" s="11"/>
    </row>
    <row r="341" spans="1:15" ht="15.6" x14ac:dyDescent="0.3">
      <c r="A341" s="2">
        <v>351</v>
      </c>
      <c r="B341" s="1" t="str">
        <f>IFERROR(VLOOKUP(A341,'[1]Master File'!$A$2:$C$312,3,0)," ")</f>
        <v>Shameem Hossain Mofser Mollah</v>
      </c>
      <c r="C341" s="2" t="s">
        <v>15</v>
      </c>
      <c r="D341" s="5">
        <v>46223</v>
      </c>
      <c r="E341" s="61">
        <v>46285</v>
      </c>
      <c r="F341" s="1">
        <f t="shared" ref="F341:F352" si="86">IF(OR(D341="",E341 =""), "", E341 - D341+ 1)</f>
        <v>63</v>
      </c>
      <c r="G341" s="42"/>
      <c r="I341" s="35" t="str">
        <f t="shared" ref="I341:I352" ca="1" si="87">IF(AND(G341="", E341="", D341=""), "", IF(D341&gt;TODAY(), "Applied", IF(G341&lt;&gt;"", IF(G341&lt;E341, "Early Rejoin", "Rejoined"), IF(E341&gt;TODAY(), "On Leave", "Not Rejoined"))))</f>
        <v>Applied</v>
      </c>
      <c r="N341" s="38"/>
      <c r="O341" s="11"/>
    </row>
    <row r="342" spans="1:15" ht="15.6" x14ac:dyDescent="0.3">
      <c r="A342" s="2">
        <v>2573</v>
      </c>
      <c r="B342" s="1" t="str">
        <f>IFERROR(VLOOKUP(A342,'[1]Master File'!$A$2:$C$312,3,0)," ")</f>
        <v>Suresh Badhan Mistree</v>
      </c>
      <c r="C342" s="2" t="s">
        <v>646</v>
      </c>
      <c r="D342" s="5">
        <v>46216</v>
      </c>
      <c r="E342" s="61">
        <v>46275</v>
      </c>
      <c r="F342" s="22">
        <f t="shared" si="86"/>
        <v>60</v>
      </c>
      <c r="G342" s="42"/>
      <c r="I342" s="35" t="str">
        <f t="shared" ca="1" si="87"/>
        <v>Applied</v>
      </c>
      <c r="N342" s="38"/>
      <c r="O342" s="11"/>
    </row>
    <row r="343" spans="1:15" ht="15.6" x14ac:dyDescent="0.3">
      <c r="A343" s="2">
        <v>22</v>
      </c>
      <c r="B343" s="1" t="str">
        <f>IFERROR(VLOOKUP(A343,'[1]Master File'!$A$2:$C$312,3,0)," ")</f>
        <v>Alamgir Hossin Mohammed Sattar</v>
      </c>
      <c r="C343" s="2" t="s">
        <v>15</v>
      </c>
      <c r="D343" s="5">
        <v>46223</v>
      </c>
      <c r="E343" s="61">
        <v>46283</v>
      </c>
      <c r="F343" s="1">
        <f t="shared" si="86"/>
        <v>61</v>
      </c>
      <c r="G343" s="68"/>
      <c r="I343" s="10" t="str">
        <f t="shared" ca="1" si="87"/>
        <v>Applied</v>
      </c>
      <c r="N343" s="38"/>
      <c r="O343" s="11"/>
    </row>
    <row r="344" spans="1:15" ht="15.6" x14ac:dyDescent="0.3">
      <c r="A344" s="2">
        <v>2692</v>
      </c>
      <c r="B344" s="1" t="str">
        <f>IFERROR(VLOOKUP(A344,'[1]Master File'!$A$2:$C$312,3,0)," ")</f>
        <v>Imran Ali</v>
      </c>
      <c r="C344" s="2" t="s">
        <v>15</v>
      </c>
      <c r="D344" s="5">
        <v>46181</v>
      </c>
      <c r="E344" s="61">
        <v>46211</v>
      </c>
      <c r="F344" s="1">
        <f t="shared" si="86"/>
        <v>31</v>
      </c>
      <c r="G344" s="69"/>
      <c r="I344" s="35" t="str">
        <f t="shared" ca="1" si="87"/>
        <v>On Leave</v>
      </c>
      <c r="N344" s="38"/>
      <c r="O344" s="11"/>
    </row>
    <row r="345" spans="1:15" ht="15.6" x14ac:dyDescent="0.3">
      <c r="A345" s="2">
        <v>459</v>
      </c>
      <c r="B345" s="1" t="str">
        <f>IFERROR(VLOOKUP(A345,'[1]Master File'!$A$2:$C$312,3,0)," ")</f>
        <v>Zahangir Alom Abdul Gony</v>
      </c>
      <c r="C345" s="2" t="s">
        <v>651</v>
      </c>
      <c r="D345" s="5">
        <v>46209</v>
      </c>
      <c r="E345" s="61">
        <v>46223</v>
      </c>
      <c r="F345" s="1">
        <f t="shared" si="86"/>
        <v>15</v>
      </c>
      <c r="G345" s="69"/>
      <c r="I345" s="35" t="str">
        <f t="shared" ca="1" si="87"/>
        <v>Applied</v>
      </c>
      <c r="N345" s="38"/>
      <c r="O345" s="11"/>
    </row>
    <row r="346" spans="1:15" ht="15.6" x14ac:dyDescent="0.3">
      <c r="A346" s="2">
        <v>2866</v>
      </c>
      <c r="B346" s="1" t="s">
        <v>652</v>
      </c>
      <c r="C346" s="2" t="s">
        <v>653</v>
      </c>
      <c r="D346" s="5">
        <v>46182</v>
      </c>
      <c r="E346" s="61">
        <v>46188</v>
      </c>
      <c r="F346" s="1">
        <f t="shared" si="86"/>
        <v>7</v>
      </c>
      <c r="G346" s="69"/>
      <c r="I346" s="35" t="str">
        <f t="shared" ca="1" si="87"/>
        <v>Not Rejoined</v>
      </c>
      <c r="N346" s="38"/>
      <c r="O346" s="11"/>
    </row>
    <row r="347" spans="1:15" ht="15.6" x14ac:dyDescent="0.3">
      <c r="A347" s="2">
        <v>2807</v>
      </c>
      <c r="B347" s="1" t="s">
        <v>559</v>
      </c>
      <c r="C347" s="2" t="s">
        <v>601</v>
      </c>
      <c r="D347" s="5">
        <v>46178</v>
      </c>
      <c r="E347" s="61">
        <v>46185</v>
      </c>
      <c r="F347" s="1">
        <f t="shared" si="86"/>
        <v>8</v>
      </c>
      <c r="G347" s="69"/>
      <c r="I347" s="35" t="str">
        <f t="shared" ca="1" si="87"/>
        <v>Not Rejoined</v>
      </c>
      <c r="N347" s="38"/>
      <c r="O347" s="11"/>
    </row>
    <row r="348" spans="1:15" ht="15.6" x14ac:dyDescent="0.3">
      <c r="A348" s="2">
        <v>2543</v>
      </c>
      <c r="B348" s="1" t="str">
        <f>IFERROR(VLOOKUP(A348,'[1]Master File'!$A$2:$C$312,3,0)," ")</f>
        <v>Md Ali Hossan Shikder</v>
      </c>
      <c r="C348" s="2" t="s">
        <v>15</v>
      </c>
      <c r="D348" s="5">
        <v>46216</v>
      </c>
      <c r="E348" s="61">
        <v>46275</v>
      </c>
      <c r="F348" s="1">
        <f t="shared" si="86"/>
        <v>60</v>
      </c>
      <c r="G348" s="69"/>
      <c r="I348" s="35" t="str">
        <f t="shared" ca="1" si="87"/>
        <v>Applied</v>
      </c>
      <c r="N348" s="38"/>
      <c r="O348" s="11"/>
    </row>
    <row r="349" spans="1:15" ht="15.6" x14ac:dyDescent="0.3">
      <c r="A349" s="2">
        <v>2628</v>
      </c>
      <c r="B349" s="1" t="str">
        <f>IFERROR(VLOOKUP(A349,'[1]Master File'!$A$2:$C$312,3,0)," ")</f>
        <v>Sona Kizhakudan Prince</v>
      </c>
      <c r="C349" s="2" t="s">
        <v>14</v>
      </c>
      <c r="D349" s="5">
        <v>46181</v>
      </c>
      <c r="E349" s="61">
        <v>46185</v>
      </c>
      <c r="F349" s="1">
        <f t="shared" si="86"/>
        <v>5</v>
      </c>
      <c r="G349" s="69">
        <v>46189</v>
      </c>
      <c r="I349" s="35" t="str">
        <f t="shared" ca="1" si="87"/>
        <v>Rejoined</v>
      </c>
      <c r="N349" s="38"/>
      <c r="O349" s="11"/>
    </row>
    <row r="350" spans="1:15" ht="15.6" x14ac:dyDescent="0.3">
      <c r="A350" s="2">
        <v>2846</v>
      </c>
      <c r="B350" s="1" t="s">
        <v>654</v>
      </c>
      <c r="C350" s="2" t="s">
        <v>15</v>
      </c>
      <c r="D350" s="5">
        <v>46195</v>
      </c>
      <c r="E350" s="61">
        <v>46206</v>
      </c>
      <c r="F350" s="1">
        <f t="shared" si="86"/>
        <v>12</v>
      </c>
      <c r="G350" s="69"/>
      <c r="I350" s="35" t="str">
        <f t="shared" ca="1" si="87"/>
        <v>On Leave</v>
      </c>
      <c r="N350" s="38"/>
      <c r="O350" s="11"/>
    </row>
    <row r="351" spans="1:15" ht="15.6" x14ac:dyDescent="0.3">
      <c r="A351" s="2">
        <v>1611</v>
      </c>
      <c r="B351" s="1" t="str">
        <f>IFERROR(VLOOKUP(A351,'[1]Master File'!$A$2:$C$312,3,0)," ")</f>
        <v xml:space="preserve">Sunil Rana </v>
      </c>
      <c r="C351" s="2" t="s">
        <v>15</v>
      </c>
      <c r="D351" s="5">
        <v>46213</v>
      </c>
      <c r="E351" s="61">
        <v>46243</v>
      </c>
      <c r="F351" s="1">
        <f t="shared" si="86"/>
        <v>31</v>
      </c>
      <c r="G351" s="69"/>
      <c r="I351" s="35" t="str">
        <f t="shared" ca="1" si="87"/>
        <v>Applied</v>
      </c>
      <c r="N351" s="38"/>
      <c r="O351" s="11"/>
    </row>
    <row r="352" spans="1:15" ht="15.6" x14ac:dyDescent="0.3">
      <c r="A352" s="2">
        <v>2534</v>
      </c>
      <c r="B352" s="1" t="str">
        <f>IFERROR(VLOOKUP(A352,'[1]Master File'!$A$2:$C$312,3,0)," ")</f>
        <v>Alomgir Md Huqum Ali</v>
      </c>
      <c r="C352" s="2" t="s">
        <v>15</v>
      </c>
      <c r="D352" s="5">
        <v>46223</v>
      </c>
      <c r="E352" s="61">
        <v>46285</v>
      </c>
      <c r="F352" s="1">
        <f t="shared" si="86"/>
        <v>63</v>
      </c>
      <c r="G352" s="69"/>
      <c r="I352" s="35" t="str">
        <f t="shared" ca="1" si="87"/>
        <v>Applied</v>
      </c>
      <c r="N352" s="38"/>
      <c r="O352" s="11"/>
    </row>
    <row r="353" spans="1:15" ht="15.6" x14ac:dyDescent="0.3">
      <c r="A353" s="2">
        <v>2900</v>
      </c>
      <c r="B353" s="1" t="s">
        <v>655</v>
      </c>
      <c r="C353" s="2" t="s">
        <v>651</v>
      </c>
      <c r="D353" s="5">
        <v>46174</v>
      </c>
      <c r="E353" s="61">
        <v>46178</v>
      </c>
      <c r="F353" s="1">
        <f t="shared" ref="F353:F357" si="88">IF(OR(D353="",E353 =""), "", E353 - D353+ 1)</f>
        <v>5</v>
      </c>
      <c r="G353" s="69"/>
      <c r="I353" s="35" t="str">
        <f t="shared" ref="I353:I357" ca="1" si="89">IF(AND(G353="", E353="", D353=""), "", IF(D353&gt;TODAY(), "Applied", IF(G353&lt;&gt;"", IF(G353&lt;E353, "Early Rejoin", "Rejoined"), IF(E353&gt;TODAY(), "On Leave", "Not Rejoined"))))</f>
        <v>Not Rejoined</v>
      </c>
      <c r="N353" s="38"/>
      <c r="O353" s="11"/>
    </row>
    <row r="354" spans="1:15" ht="15.6" x14ac:dyDescent="0.3">
      <c r="A354" s="2">
        <v>1106</v>
      </c>
      <c r="B354" s="1" t="str">
        <f>IFERROR(VLOOKUP(A354,'[1]Master File'!$A$2:$C$312,3,0)," ")</f>
        <v>Ram Chandra Pradhan</v>
      </c>
      <c r="C354" s="2" t="s">
        <v>14</v>
      </c>
      <c r="D354" s="5">
        <v>46195</v>
      </c>
      <c r="E354" s="61">
        <v>46214</v>
      </c>
      <c r="F354" s="1">
        <f t="shared" si="88"/>
        <v>20</v>
      </c>
      <c r="G354" s="68"/>
      <c r="I354" s="10" t="str">
        <f t="shared" ca="1" si="89"/>
        <v>On Leave</v>
      </c>
      <c r="N354" s="38"/>
      <c r="O354" s="11"/>
    </row>
    <row r="355" spans="1:15" ht="15.6" x14ac:dyDescent="0.3">
      <c r="A355" s="2">
        <v>802</v>
      </c>
      <c r="B355" s="1" t="str">
        <f>IFERROR(VLOOKUP(A355,'[1]Master File'!$A$2:$C$312,3,0)," ")</f>
        <v>Muhammad Pervez Muhammad Idrees</v>
      </c>
      <c r="C355" s="2" t="s">
        <v>14</v>
      </c>
      <c r="D355" s="5">
        <v>46173</v>
      </c>
      <c r="E355" s="61">
        <v>46186</v>
      </c>
      <c r="F355" s="1">
        <f t="shared" si="88"/>
        <v>14</v>
      </c>
      <c r="G355" s="42">
        <v>46188</v>
      </c>
      <c r="I355" s="35" t="str">
        <f t="shared" ca="1" si="89"/>
        <v>Rejoined</v>
      </c>
      <c r="N355" s="38"/>
      <c r="O355" s="11"/>
    </row>
    <row r="356" spans="1:15" ht="15.6" x14ac:dyDescent="0.3">
      <c r="A356" s="2">
        <v>231</v>
      </c>
      <c r="B356" s="1" t="str">
        <f>IFERROR(VLOOKUP(A356,'[1]Master File'!$A$2:$C$312,3,0)," ")</f>
        <v>Roshid Sheikh Taleb Ali Sheikh</v>
      </c>
      <c r="C356" s="2" t="s">
        <v>15</v>
      </c>
      <c r="D356" s="5"/>
      <c r="E356" s="61"/>
      <c r="F356" s="1" t="str">
        <f>IF(OR(D356="",G356 =""), "", G356 - D356+ 1)</f>
        <v/>
      </c>
      <c r="G356" s="70">
        <v>46182</v>
      </c>
      <c r="I356" s="35" t="e">
        <f ca="1">IF(AND(#REF!="", G356="", D356=""), "", IF(D356&gt;TODAY(), "Applied", IF(#REF!&lt;&gt;"", IF(#REF!&lt;G356, "Early Rejoin", "Rejoined"), IF(G356&gt;TODAY(), "On Leave", "Not Rejoined"))))</f>
        <v>#REF!</v>
      </c>
      <c r="N356" s="38"/>
      <c r="O356" s="11"/>
    </row>
    <row r="357" spans="1:15" ht="15.6" x14ac:dyDescent="0.3">
      <c r="A357" s="2">
        <v>334</v>
      </c>
      <c r="B357" s="1" t="str">
        <f>IFERROR(VLOOKUP(A357,'[1]Master File'!$A$2:$C$312,3,0)," ")</f>
        <v>Zulfikar Ali Abdul Majeed</v>
      </c>
      <c r="C357" s="2" t="s">
        <v>15</v>
      </c>
      <c r="D357" s="5">
        <v>46167</v>
      </c>
      <c r="E357" s="61">
        <v>46177</v>
      </c>
      <c r="F357" s="1">
        <f t="shared" si="88"/>
        <v>11</v>
      </c>
      <c r="G357" s="42">
        <v>46177</v>
      </c>
      <c r="I357" s="35" t="str">
        <f t="shared" ca="1" si="89"/>
        <v>Rejoined</v>
      </c>
      <c r="N357" s="10"/>
      <c r="O357" s="11"/>
    </row>
    <row r="358" spans="1:15" ht="15.6" x14ac:dyDescent="0.3">
      <c r="A358" s="2"/>
      <c r="B358" s="1" t="str">
        <f>IFERROR(VLOOKUP(A358,'[1]Master File'!$A$2:$C$312,3,0)," ")</f>
        <v xml:space="preserve"> </v>
      </c>
      <c r="C358" s="2"/>
      <c r="D358" s="5"/>
      <c r="E358" s="61"/>
      <c r="F358" s="1"/>
      <c r="G358" s="68"/>
      <c r="I358" s="10" t="str">
        <f t="shared" ref="I358:I360" ca="1" si="90">IF(AND(G358="", E358="", D358=""), "", IF(D358&gt;TODAY(), "Applied", IF(G358&lt;&gt;"", IF(G358&lt;E358, "Early Rejoin", "Rejoined"), IF(E358&gt;TODAY(), "On Leave", "Not Rejoined"))))</f>
        <v/>
      </c>
      <c r="N358" s="10"/>
      <c r="O358" s="11"/>
    </row>
    <row r="359" spans="1:15" ht="15.6" x14ac:dyDescent="0.3">
      <c r="A359" s="2"/>
      <c r="B359" s="1" t="str">
        <f>IFERROR(VLOOKUP(A359,'[1]Master File'!$A$2:$C$312,3,0)," ")</f>
        <v xml:space="preserve"> </v>
      </c>
      <c r="C359" s="2"/>
      <c r="D359" s="5"/>
      <c r="E359" s="61"/>
      <c r="F359" s="1" t="str">
        <f t="shared" ref="F358:F360" si="91">IF(OR(D359="",E359 =""), "", E359 - D359+ 1)</f>
        <v/>
      </c>
      <c r="G359" s="69"/>
      <c r="I359" s="35" t="str">
        <f t="shared" ca="1" si="90"/>
        <v/>
      </c>
      <c r="N359" s="10"/>
      <c r="O359" s="11"/>
    </row>
    <row r="360" spans="1:15" ht="15.6" x14ac:dyDescent="0.3">
      <c r="A360" s="2"/>
      <c r="B360" s="1" t="str">
        <f>IFERROR(VLOOKUP(A360,'[1]Master File'!$A$2:$C$312,3,0)," ")</f>
        <v xml:space="preserve"> </v>
      </c>
      <c r="C360" s="2"/>
      <c r="D360" s="5"/>
      <c r="E360" s="61"/>
      <c r="F360" s="1" t="str">
        <f t="shared" si="91"/>
        <v/>
      </c>
      <c r="G360" s="69"/>
      <c r="I360" s="35" t="str">
        <f t="shared" ca="1" si="90"/>
        <v/>
      </c>
      <c r="N360" s="10"/>
      <c r="O360" s="11"/>
    </row>
  </sheetData>
  <conditionalFormatting sqref="A137">
    <cfRule type="duplicateValues" dxfId="38" priority="28"/>
  </conditionalFormatting>
  <conditionalFormatting sqref="A138">
    <cfRule type="duplicateValues" dxfId="37" priority="20"/>
  </conditionalFormatting>
  <conditionalFormatting sqref="A139:A152 A154:A156">
    <cfRule type="duplicateValues" dxfId="36" priority="12"/>
  </conditionalFormatting>
  <conditionalFormatting sqref="A157:A161">
    <cfRule type="duplicateValues" dxfId="35" priority="10"/>
  </conditionalFormatting>
  <conditionalFormatting sqref="A173">
    <cfRule type="duplicateValues" dxfId="34" priority="6"/>
  </conditionalFormatting>
  <conditionalFormatting sqref="B163">
    <cfRule type="duplicateValues" dxfId="33" priority="7"/>
    <cfRule type="duplicateValues" dxfId="32" priority="8"/>
  </conditionalFormatting>
  <conditionalFormatting sqref="C1:C1048576">
    <cfRule type="cellIs" dxfId="31" priority="9" operator="equal">
      <formula>"Emergency Leave"</formula>
    </cfRule>
  </conditionalFormatting>
  <conditionalFormatting sqref="E1:E4 E162:E355 E357:E1048576">
    <cfRule type="expression" dxfId="30" priority="40">
      <formula>AND(B1-TODAY()&lt;=3, B1&gt;=TODAY())</formula>
    </cfRule>
  </conditionalFormatting>
  <conditionalFormatting sqref="I1:I1048576">
    <cfRule type="containsText" dxfId="29" priority="13" operator="containsText" text="Early Rejoin">
      <formula>NOT(ISERROR(SEARCH("Early Rejoin",I1)))</formula>
    </cfRule>
  </conditionalFormatting>
  <conditionalFormatting sqref="I99">
    <cfRule type="containsText" dxfId="28" priority="37" operator="containsText" text="Early Rejoin">
      <formula>NOT(ISERROR(SEARCH("Early Rejoin",I99)))</formula>
    </cfRule>
  </conditionalFormatting>
  <conditionalFormatting sqref="I2:K1048576">
    <cfRule type="containsText" dxfId="27" priority="17" operator="containsText" text="On Leave">
      <formula>NOT(ISERROR(SEARCH("On Leave",I2)))</formula>
    </cfRule>
  </conditionalFormatting>
  <conditionalFormatting sqref="I136:K1048576">
    <cfRule type="containsText" dxfId="26" priority="18" stopIfTrue="1" operator="containsText" text="Not Rejoined">
      <formula>NOT(ISERROR(SEARCH("Not Rejoined",I136)))</formula>
    </cfRule>
  </conditionalFormatting>
  <conditionalFormatting sqref="J1:K1 N1:O1 I2:K135">
    <cfRule type="containsText" dxfId="25" priority="46" stopIfTrue="1" operator="containsText" text="Not Rejoined">
      <formula>NOT(ISERROR(SEARCH("Not Rejoined",I1)))</formula>
    </cfRule>
  </conditionalFormatting>
  <conditionalFormatting sqref="J1:K1 N1:O1">
    <cfRule type="containsText" dxfId="24" priority="44" operator="containsText" text="On Leave">
      <formula>NOT(ISERROR(SEARCH("On Leave",J1)))</formula>
    </cfRule>
  </conditionalFormatting>
  <conditionalFormatting sqref="N2:N161">
    <cfRule type="containsText" dxfId="23" priority="14" operator="containsText" text="On Leave">
      <formula>NOT(ISERROR(SEARCH("On Leave",N2)))</formula>
    </cfRule>
    <cfRule type="containsText" dxfId="22" priority="15" stopIfTrue="1" operator="containsText" text="Not Rejoined">
      <formula>NOT(ISERROR(SEARCH("Not Rejoined",N2)))</formula>
    </cfRule>
  </conditionalFormatting>
  <conditionalFormatting sqref="G356">
    <cfRule type="expression" dxfId="0" priority="303">
      <formula>AND(B356-TODAY()&lt;=3, B356&gt;=TODAY())</formula>
    </cfRule>
  </conditionalFormatting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CA8D-7280-460F-8E4E-C1E8A49A71BF}">
  <sheetPr codeName="Sheet2"/>
  <dimension ref="A1:H44"/>
  <sheetViews>
    <sheetView topLeftCell="A22" zoomScale="85" zoomScaleNormal="85" workbookViewId="0">
      <selection activeCell="C42" sqref="C42"/>
    </sheetView>
  </sheetViews>
  <sheetFormatPr defaultRowHeight="14.4" x14ac:dyDescent="0.3"/>
  <cols>
    <col min="1" max="1" width="17.33203125" bestFit="1" customWidth="1"/>
    <col min="2" max="2" width="48.109375" bestFit="1" customWidth="1"/>
  </cols>
  <sheetData>
    <row r="1" spans="1:8" x14ac:dyDescent="0.3">
      <c r="A1" s="18" t="s">
        <v>0</v>
      </c>
      <c r="B1" s="18" t="s">
        <v>1</v>
      </c>
      <c r="C1" s="18" t="s">
        <v>500</v>
      </c>
      <c r="D1" s="18" t="s">
        <v>501</v>
      </c>
    </row>
    <row r="2" spans="1:8" x14ac:dyDescent="0.3">
      <c r="A2" s="6">
        <v>2626</v>
      </c>
      <c r="B2" s="6" t="s">
        <v>387</v>
      </c>
      <c r="C2" s="6">
        <v>31</v>
      </c>
      <c r="D2" s="18"/>
    </row>
    <row r="3" spans="1:8" x14ac:dyDescent="0.3">
      <c r="A3" s="6">
        <v>2613</v>
      </c>
      <c r="B3" s="6" t="s">
        <v>377</v>
      </c>
      <c r="C3" s="6">
        <v>31</v>
      </c>
      <c r="D3" s="6"/>
    </row>
    <row r="4" spans="1:8" x14ac:dyDescent="0.3">
      <c r="A4" s="6">
        <v>2314</v>
      </c>
      <c r="B4" s="6" t="s">
        <v>245</v>
      </c>
      <c r="C4" s="6">
        <v>25</v>
      </c>
      <c r="D4" s="6">
        <v>6</v>
      </c>
      <c r="F4" s="48"/>
      <c r="G4" s="46"/>
    </row>
    <row r="5" spans="1:8" x14ac:dyDescent="0.3">
      <c r="A5" s="6">
        <v>2834</v>
      </c>
      <c r="B5" s="6" t="s">
        <v>619</v>
      </c>
      <c r="C5" s="6">
        <v>31</v>
      </c>
      <c r="D5" s="6"/>
    </row>
    <row r="6" spans="1:8" x14ac:dyDescent="0.3">
      <c r="A6" s="6">
        <v>2516</v>
      </c>
      <c r="B6" s="6" t="s">
        <v>306</v>
      </c>
      <c r="C6" s="6"/>
      <c r="D6" s="6">
        <v>31</v>
      </c>
    </row>
    <row r="7" spans="1:8" x14ac:dyDescent="0.3">
      <c r="A7" s="6">
        <v>2510</v>
      </c>
      <c r="B7" s="6" t="s">
        <v>620</v>
      </c>
      <c r="C7" s="6"/>
      <c r="D7" s="6">
        <v>31</v>
      </c>
    </row>
    <row r="8" spans="1:8" x14ac:dyDescent="0.3">
      <c r="A8" s="6">
        <v>2856</v>
      </c>
      <c r="B8" s="6" t="s">
        <v>623</v>
      </c>
      <c r="C8" s="6">
        <v>31</v>
      </c>
      <c r="D8" s="6"/>
      <c r="F8" s="49"/>
      <c r="G8" s="46"/>
    </row>
    <row r="9" spans="1:8" x14ac:dyDescent="0.3">
      <c r="A9" s="6">
        <v>2707</v>
      </c>
      <c r="B9" s="6" t="s">
        <v>465</v>
      </c>
      <c r="C9" s="6"/>
      <c r="D9" s="6">
        <v>28</v>
      </c>
      <c r="F9" s="49"/>
      <c r="G9" s="46"/>
    </row>
    <row r="10" spans="1:8" x14ac:dyDescent="0.3">
      <c r="A10" s="6">
        <v>2740</v>
      </c>
      <c r="B10" s="6" t="s">
        <v>624</v>
      </c>
      <c r="C10" s="6">
        <v>22</v>
      </c>
      <c r="D10" s="6">
        <v>9</v>
      </c>
      <c r="F10" s="48"/>
      <c r="G10" s="46"/>
    </row>
    <row r="11" spans="1:8" x14ac:dyDescent="0.3">
      <c r="A11" s="6">
        <v>2594</v>
      </c>
      <c r="B11" s="6" t="s">
        <v>363</v>
      </c>
      <c r="C11" s="6">
        <v>10</v>
      </c>
      <c r="D11" s="6">
        <v>21</v>
      </c>
      <c r="F11" s="46">
        <v>46102</v>
      </c>
      <c r="G11" s="46">
        <v>46122</v>
      </c>
      <c r="H11">
        <f>G11-F11+1</f>
        <v>21</v>
      </c>
    </row>
    <row r="12" spans="1:8" x14ac:dyDescent="0.3">
      <c r="A12" s="6">
        <v>976</v>
      </c>
      <c r="B12" s="6" t="s">
        <v>143</v>
      </c>
      <c r="C12" s="6"/>
      <c r="D12" s="6">
        <v>29</v>
      </c>
      <c r="F12" s="49">
        <v>46104</v>
      </c>
      <c r="G12" s="49">
        <v>46132</v>
      </c>
      <c r="H12">
        <f>G12-F12+1</f>
        <v>29</v>
      </c>
    </row>
    <row r="13" spans="1:8" x14ac:dyDescent="0.3">
      <c r="A13" s="6">
        <v>1016</v>
      </c>
      <c r="B13" s="6" t="s">
        <v>149</v>
      </c>
      <c r="C13" s="6"/>
      <c r="D13" s="6">
        <v>30</v>
      </c>
    </row>
    <row r="14" spans="1:8" x14ac:dyDescent="0.3">
      <c r="A14" s="6">
        <v>2752</v>
      </c>
      <c r="B14" s="6" t="s">
        <v>630</v>
      </c>
      <c r="C14" s="6">
        <v>18</v>
      </c>
      <c r="D14" s="6"/>
    </row>
    <row r="15" spans="1:8" x14ac:dyDescent="0.3">
      <c r="A15" s="6">
        <v>227</v>
      </c>
      <c r="B15" s="6" t="s">
        <v>66</v>
      </c>
      <c r="C15" s="6">
        <v>31</v>
      </c>
      <c r="D15" s="6"/>
      <c r="F15" s="50"/>
      <c r="G15" s="46"/>
    </row>
    <row r="16" spans="1:8" x14ac:dyDescent="0.3">
      <c r="A16" s="6">
        <v>2478</v>
      </c>
      <c r="B16" s="6" t="s">
        <v>280</v>
      </c>
      <c r="C16" s="6"/>
      <c r="D16" s="6">
        <v>22</v>
      </c>
      <c r="F16" s="50"/>
      <c r="G16" s="46"/>
    </row>
    <row r="17" spans="1:7" x14ac:dyDescent="0.3">
      <c r="A17" s="6">
        <v>2627</v>
      </c>
      <c r="B17" s="6" t="s">
        <v>388</v>
      </c>
      <c r="C17" s="6"/>
      <c r="D17" s="6">
        <v>31</v>
      </c>
      <c r="F17" s="51"/>
      <c r="G17" s="46"/>
    </row>
    <row r="18" spans="1:7" x14ac:dyDescent="0.3">
      <c r="A18" s="6">
        <v>2504</v>
      </c>
      <c r="B18" s="6" t="s">
        <v>300</v>
      </c>
      <c r="C18" s="6"/>
      <c r="D18" s="6">
        <v>29</v>
      </c>
      <c r="F18" s="48"/>
      <c r="G18" s="48"/>
    </row>
    <row r="19" spans="1:7" x14ac:dyDescent="0.3">
      <c r="A19" s="2">
        <v>2622</v>
      </c>
      <c r="B19" s="2" t="s">
        <v>385</v>
      </c>
      <c r="C19" s="2"/>
      <c r="D19" s="2">
        <v>26</v>
      </c>
      <c r="F19" s="49"/>
      <c r="G19" s="49"/>
    </row>
    <row r="20" spans="1:7" x14ac:dyDescent="0.3">
      <c r="A20" s="2">
        <v>1076</v>
      </c>
      <c r="B20" s="2" t="s">
        <v>150</v>
      </c>
      <c r="C20" s="2"/>
      <c r="D20" s="2">
        <v>26</v>
      </c>
    </row>
    <row r="21" spans="1:7" x14ac:dyDescent="0.3">
      <c r="A21" s="2">
        <v>629</v>
      </c>
      <c r="B21" s="2" t="s">
        <v>124</v>
      </c>
      <c r="C21" s="2"/>
      <c r="D21" s="2">
        <v>22</v>
      </c>
    </row>
    <row r="22" spans="1:7" x14ac:dyDescent="0.3">
      <c r="A22" s="2">
        <v>2537</v>
      </c>
      <c r="B22" s="2" t="s">
        <v>321</v>
      </c>
      <c r="C22" s="2"/>
      <c r="D22" s="2">
        <v>31</v>
      </c>
    </row>
    <row r="23" spans="1:7" x14ac:dyDescent="0.3">
      <c r="A23" s="2">
        <v>2014</v>
      </c>
      <c r="B23" s="2" t="s">
        <v>226</v>
      </c>
      <c r="C23" s="2">
        <v>10</v>
      </c>
      <c r="D23" s="2"/>
      <c r="F23" s="49"/>
      <c r="G23" s="46"/>
    </row>
    <row r="24" spans="1:7" x14ac:dyDescent="0.3">
      <c r="A24" s="2">
        <v>2887</v>
      </c>
      <c r="B24" s="2" t="s">
        <v>628</v>
      </c>
      <c r="C24" s="2">
        <v>10</v>
      </c>
      <c r="D24" s="2"/>
      <c r="F24" s="48"/>
      <c r="G24" s="46"/>
    </row>
    <row r="25" spans="1:7" x14ac:dyDescent="0.3">
      <c r="A25" s="2">
        <v>2407</v>
      </c>
      <c r="B25" s="2" t="s">
        <v>261</v>
      </c>
      <c r="C25" s="2"/>
      <c r="D25" s="2">
        <v>4</v>
      </c>
      <c r="F25" s="49"/>
      <c r="G25" s="49"/>
    </row>
    <row r="26" spans="1:7" x14ac:dyDescent="0.3">
      <c r="A26" s="2">
        <v>1856</v>
      </c>
      <c r="B26" s="2" t="s">
        <v>218</v>
      </c>
      <c r="C26" s="2"/>
      <c r="D26" s="2">
        <v>8</v>
      </c>
      <c r="F26" s="48"/>
      <c r="G26" s="48"/>
    </row>
    <row r="27" spans="1:7" x14ac:dyDescent="0.3">
      <c r="A27" s="2">
        <v>2845</v>
      </c>
      <c r="B27" s="2" t="s">
        <v>629</v>
      </c>
      <c r="C27" s="2"/>
      <c r="D27" s="2">
        <v>1</v>
      </c>
      <c r="F27" s="49"/>
      <c r="G27" s="49"/>
    </row>
    <row r="28" spans="1:7" x14ac:dyDescent="0.3">
      <c r="A28" s="2">
        <v>1399</v>
      </c>
      <c r="B28" s="2" t="s">
        <v>188</v>
      </c>
      <c r="C28" s="2"/>
      <c r="D28" s="2">
        <v>31</v>
      </c>
    </row>
    <row r="29" spans="1:7" x14ac:dyDescent="0.3">
      <c r="A29" s="2">
        <v>2777</v>
      </c>
      <c r="B29" s="2" t="s">
        <v>621</v>
      </c>
      <c r="C29" s="2">
        <v>9</v>
      </c>
      <c r="D29" s="2">
        <v>18</v>
      </c>
    </row>
    <row r="30" spans="1:7" x14ac:dyDescent="0.3">
      <c r="A30" s="2">
        <v>338</v>
      </c>
      <c r="B30" s="2" t="s">
        <v>88</v>
      </c>
      <c r="C30" s="2">
        <v>14</v>
      </c>
      <c r="D30" s="2">
        <v>11</v>
      </c>
    </row>
    <row r="31" spans="1:7" x14ac:dyDescent="0.3">
      <c r="A31" s="2">
        <v>979</v>
      </c>
      <c r="B31" s="2" t="s">
        <v>145</v>
      </c>
      <c r="C31" s="2"/>
      <c r="D31" s="2">
        <v>11</v>
      </c>
    </row>
    <row r="32" spans="1:7" x14ac:dyDescent="0.3">
      <c r="A32" s="2">
        <v>2656</v>
      </c>
      <c r="B32" s="2" t="s">
        <v>415</v>
      </c>
      <c r="C32" s="2"/>
      <c r="D32" s="2">
        <v>17</v>
      </c>
    </row>
    <row r="33" spans="1:8" x14ac:dyDescent="0.3">
      <c r="A33" s="2">
        <v>1693</v>
      </c>
      <c r="B33" s="2" t="s">
        <v>207</v>
      </c>
      <c r="C33" s="2"/>
      <c r="D33" s="2">
        <v>18</v>
      </c>
      <c r="F33" s="50">
        <v>46104</v>
      </c>
      <c r="G33" s="50">
        <v>46121</v>
      </c>
      <c r="H33">
        <f>G33-F33+1</f>
        <v>18</v>
      </c>
    </row>
    <row r="34" spans="1:8" x14ac:dyDescent="0.3">
      <c r="A34" s="2">
        <v>1617</v>
      </c>
      <c r="B34" s="2" t="s">
        <v>202</v>
      </c>
      <c r="C34" s="2"/>
      <c r="D34" s="2">
        <v>4</v>
      </c>
    </row>
    <row r="35" spans="1:8" x14ac:dyDescent="0.3">
      <c r="A35" s="52" t="s">
        <v>634</v>
      </c>
      <c r="B35" s="2" t="s">
        <v>278</v>
      </c>
      <c r="C35" s="2">
        <v>3</v>
      </c>
      <c r="D35" s="2"/>
    </row>
    <row r="36" spans="1:8" x14ac:dyDescent="0.3">
      <c r="A36" s="52" t="s">
        <v>635</v>
      </c>
      <c r="B36" s="2" t="s">
        <v>615</v>
      </c>
      <c r="C36" s="2">
        <v>31</v>
      </c>
      <c r="D36" s="2"/>
    </row>
    <row r="37" spans="1:8" x14ac:dyDescent="0.3">
      <c r="A37" s="52" t="s">
        <v>636</v>
      </c>
      <c r="B37" s="2" t="s">
        <v>638</v>
      </c>
      <c r="C37" s="2">
        <v>18</v>
      </c>
      <c r="D37" s="2">
        <v>6</v>
      </c>
    </row>
    <row r="38" spans="1:8" x14ac:dyDescent="0.3">
      <c r="A38" s="52" t="s">
        <v>637</v>
      </c>
      <c r="B38" s="2" t="s">
        <v>639</v>
      </c>
      <c r="C38" s="2">
        <v>14</v>
      </c>
      <c r="D38" s="2"/>
    </row>
    <row r="39" spans="1:8" x14ac:dyDescent="0.3">
      <c r="A39" s="52" t="s">
        <v>640</v>
      </c>
      <c r="B39" s="2" t="s">
        <v>221</v>
      </c>
      <c r="C39" s="2"/>
      <c r="D39" s="2">
        <v>1</v>
      </c>
    </row>
    <row r="40" spans="1:8" x14ac:dyDescent="0.3">
      <c r="A40" s="52" t="s">
        <v>641</v>
      </c>
      <c r="B40" s="2" t="s">
        <v>643</v>
      </c>
      <c r="C40" s="2"/>
      <c r="D40" s="2">
        <v>26</v>
      </c>
    </row>
    <row r="41" spans="1:8" x14ac:dyDescent="0.3">
      <c r="A41" s="52" t="s">
        <v>642</v>
      </c>
      <c r="B41" s="2" t="s">
        <v>644</v>
      </c>
      <c r="C41" s="2">
        <v>11</v>
      </c>
      <c r="D41" s="2"/>
    </row>
    <row r="42" spans="1:8" x14ac:dyDescent="0.3">
      <c r="A42" s="2"/>
      <c r="B42" s="2"/>
      <c r="C42" s="2"/>
      <c r="D42" s="2"/>
    </row>
    <row r="43" spans="1:8" x14ac:dyDescent="0.3">
      <c r="A43" s="2"/>
      <c r="B43" s="2"/>
      <c r="C43" s="2"/>
      <c r="D43" s="2"/>
    </row>
    <row r="44" spans="1:8" x14ac:dyDescent="0.3">
      <c r="A44" s="2"/>
      <c r="B44" s="2"/>
      <c r="C44" s="2"/>
      <c r="D44" s="2"/>
    </row>
  </sheetData>
  <autoFilter ref="A1:D41" xr:uid="{8812CA8D-7280-460F-8E4E-C1E8A49A71BF}"/>
  <conditionalFormatting sqref="A1:A1048576">
    <cfRule type="duplicateValues" dxfId="21" priority="298"/>
    <cfRule type="duplicateValues" dxfId="20" priority="299"/>
    <cfRule type="duplicateValues" dxfId="19" priority="301"/>
  </conditionalFormatting>
  <conditionalFormatting sqref="A23:A26">
    <cfRule type="duplicateValues" dxfId="18" priority="30"/>
    <cfRule type="duplicateValues" dxfId="17" priority="31"/>
    <cfRule type="duplicateValues" dxfId="16" priority="32"/>
    <cfRule type="duplicateValues" dxfId="15" priority="33"/>
  </conditionalFormatting>
  <conditionalFormatting sqref="A45:A1048576 A27 A1 A3:A17 A19:A22">
    <cfRule type="duplicateValues" dxfId="14" priority="271"/>
  </conditionalFormatting>
  <conditionalFormatting sqref="A45:A1048576 A27 A1 A19:A22">
    <cfRule type="duplicateValues" dxfId="13" priority="270"/>
  </conditionalFormatting>
  <conditionalFormatting sqref="A45:A1048576 A27 A1:A22">
    <cfRule type="duplicateValues" dxfId="12" priority="274"/>
  </conditionalFormatting>
  <conditionalFormatting sqref="A45:A1048576 A27 A19:A22">
    <cfRule type="duplicateValues" dxfId="11" priority="254"/>
  </conditionalFormatting>
  <conditionalFormatting sqref="A18:D18">
    <cfRule type="duplicateValues" dxfId="10" priority="297"/>
  </conditionalFormatting>
  <conditionalFormatting sqref="F4 G25:G27">
    <cfRule type="expression" dxfId="9" priority="29">
      <formula>AND(C4-TODAY()&lt;=3, C4&gt;=TODAY())</formula>
    </cfRule>
  </conditionalFormatting>
  <conditionalFormatting sqref="F15:F16">
    <cfRule type="expression" dxfId="8" priority="26">
      <formula>AND(C16-TODAY()&lt;=3, C16&gt;=TODAY())</formula>
    </cfRule>
  </conditionalFormatting>
  <conditionalFormatting sqref="F17:F18">
    <cfRule type="expression" dxfId="7" priority="24">
      <formula>AND(C17-TODAY()&lt;=3, C17&gt;=TODAY())</formula>
    </cfRule>
  </conditionalFormatting>
  <conditionalFormatting sqref="F23:F24">
    <cfRule type="expression" dxfId="6" priority="18">
      <formula>AND(C23-TODAY()&lt;=3, C23&gt;=TODAY())</formula>
    </cfRule>
  </conditionalFormatting>
  <conditionalFormatting sqref="F19:G19">
    <cfRule type="expression" dxfId="5" priority="21">
      <formula>AND(C19-TODAY()&lt;=3, C19&gt;=TODAY())</formula>
    </cfRule>
  </conditionalFormatting>
  <conditionalFormatting sqref="G12">
    <cfRule type="expression" dxfId="4" priority="4">
      <formula>AND(D12-TODAY()&lt;=3, D12&gt;=TODAY())</formula>
    </cfRule>
  </conditionalFormatting>
  <conditionalFormatting sqref="G18">
    <cfRule type="expression" dxfId="3" priority="23">
      <formula>AND(D18-TODAY()&lt;=3, D18&gt;=TODAY())</formula>
    </cfRule>
  </conditionalFormatting>
  <conditionalFormatting sqref="G33">
    <cfRule type="expression" dxfId="2" priority="3">
      <formula>AND(D33-TODAY()&lt;=3, D33&gt;=TODAY())</formula>
    </cfRule>
  </conditionalFormatting>
  <conditionalFormatting sqref="K7 A1:A1048576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FF38-A010-4884-ADDF-6153D9099584}">
  <sheetPr codeName="Sheet3" filterMode="1"/>
  <dimension ref="A1:P382"/>
  <sheetViews>
    <sheetView topLeftCell="D1" zoomScale="131" zoomScaleNormal="70" workbookViewId="0">
      <selection activeCell="N254" sqref="N254"/>
    </sheetView>
  </sheetViews>
  <sheetFormatPr defaultRowHeight="14.4" x14ac:dyDescent="0.3"/>
  <cols>
    <col min="1" max="1" width="13.44140625" customWidth="1"/>
    <col min="2" max="2" width="45.5546875" bestFit="1" customWidth="1"/>
    <col min="3" max="3" width="29.6640625" customWidth="1"/>
    <col min="4" max="9" width="15.33203125" customWidth="1"/>
    <col min="10" max="11" width="15.6640625" customWidth="1"/>
    <col min="12" max="12" width="11.44140625" customWidth="1"/>
    <col min="13" max="13" width="11.109375" customWidth="1"/>
    <col min="14" max="14" width="18.6640625" customWidth="1"/>
    <col min="16" max="16" width="63.21875" bestFit="1" customWidth="1"/>
  </cols>
  <sheetData>
    <row r="1" spans="1:16" ht="36.6" x14ac:dyDescent="0.3">
      <c r="A1" s="67" t="s">
        <v>497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x14ac:dyDescent="0.3">
      <c r="A2" s="16" t="s">
        <v>0</v>
      </c>
      <c r="B2" s="16" t="s">
        <v>1</v>
      </c>
      <c r="C2" s="16" t="s">
        <v>30</v>
      </c>
      <c r="D2" s="16" t="s">
        <v>32</v>
      </c>
      <c r="E2" s="16" t="s">
        <v>508</v>
      </c>
      <c r="F2" s="16" t="s">
        <v>504</v>
      </c>
      <c r="G2" s="16" t="s">
        <v>505</v>
      </c>
      <c r="H2" s="16" t="s">
        <v>506</v>
      </c>
      <c r="I2" s="16" t="s">
        <v>500</v>
      </c>
      <c r="J2" s="16" t="s">
        <v>31</v>
      </c>
      <c r="K2" s="16" t="s">
        <v>507</v>
      </c>
      <c r="L2" s="16" t="s">
        <v>28</v>
      </c>
      <c r="M2" s="16" t="s">
        <v>29</v>
      </c>
      <c r="N2" s="16" t="s">
        <v>594</v>
      </c>
      <c r="O2" s="16" t="s">
        <v>595</v>
      </c>
      <c r="P2" s="43" t="s">
        <v>599</v>
      </c>
    </row>
    <row r="3" spans="1:16" hidden="1" x14ac:dyDescent="0.3">
      <c r="A3" s="1">
        <v>14</v>
      </c>
      <c r="B3" s="14" t="s">
        <v>33</v>
      </c>
      <c r="C3" s="14" t="s">
        <v>34</v>
      </c>
      <c r="D3" s="15">
        <v>39221</v>
      </c>
      <c r="E3" s="15">
        <f t="shared" ref="E3:E34" ca="1" si="0">TODAY()</f>
        <v>46195</v>
      </c>
      <c r="F3" s="1">
        <f t="shared" ref="F3:F66" ca="1" si="1">E3-D3</f>
        <v>6974</v>
      </c>
      <c r="G3" s="1">
        <f t="shared" ref="G3:G66" ca="1" si="2">F3-(H3+I3)</f>
        <v>6916</v>
      </c>
      <c r="H3" s="1">
        <v>53</v>
      </c>
      <c r="I3" s="1">
        <v>5</v>
      </c>
      <c r="J3" s="13">
        <v>97.5</v>
      </c>
      <c r="K3" s="13">
        <f t="shared" ref="K3:K66" ca="1" si="3">G3/360*30</f>
        <v>576.33333333333337</v>
      </c>
      <c r="L3" s="1">
        <v>434</v>
      </c>
      <c r="M3" s="13">
        <f t="shared" ref="M3:M66" ca="1" si="4">K3-L3</f>
        <v>142.33333333333337</v>
      </c>
      <c r="N3" s="13">
        <f>SUMIFS('Leave Tracker'!F:F,'Leave Tracker'!A:A,'Annual Leave Balance'!A3,'Leave Tracker'!C:C,"Annual Leave")</f>
        <v>30</v>
      </c>
      <c r="O3" s="13">
        <f t="shared" ref="O3:O66" ca="1" si="5">M3-N3</f>
        <v>112.33333333333337</v>
      </c>
    </row>
    <row r="4" spans="1:16" hidden="1" x14ac:dyDescent="0.3">
      <c r="A4" s="1">
        <v>22</v>
      </c>
      <c r="B4" s="14" t="s">
        <v>35</v>
      </c>
      <c r="C4" s="14" t="s">
        <v>36</v>
      </c>
      <c r="D4" s="15">
        <v>38298</v>
      </c>
      <c r="E4" s="15">
        <f t="shared" ca="1" si="0"/>
        <v>46195</v>
      </c>
      <c r="F4" s="1">
        <f t="shared" ca="1" si="1"/>
        <v>7897</v>
      </c>
      <c r="G4" s="1">
        <f t="shared" ca="1" si="2"/>
        <v>7805</v>
      </c>
      <c r="H4" s="1">
        <v>92</v>
      </c>
      <c r="I4" s="1">
        <v>0</v>
      </c>
      <c r="J4" s="13">
        <v>132.58333333333326</v>
      </c>
      <c r="K4" s="13">
        <f t="shared" ca="1" si="3"/>
        <v>650.41666666666674</v>
      </c>
      <c r="L4" s="1">
        <v>473</v>
      </c>
      <c r="M4" s="13">
        <f t="shared" ca="1" si="4"/>
        <v>177.41666666666674</v>
      </c>
      <c r="N4" s="13">
        <f>SUMIFS('Leave Tracker'!F:F,'Leave Tracker'!A:A,'Annual Leave Balance'!A4,'Leave Tracker'!C:C,"Annual Leave")</f>
        <v>61</v>
      </c>
      <c r="O4" s="13">
        <f t="shared" ca="1" si="5"/>
        <v>116.41666666666674</v>
      </c>
    </row>
    <row r="5" spans="1:16" hidden="1" x14ac:dyDescent="0.3">
      <c r="A5" s="1">
        <v>23</v>
      </c>
      <c r="B5" s="14" t="s">
        <v>37</v>
      </c>
      <c r="C5" s="14" t="s">
        <v>38</v>
      </c>
      <c r="D5" s="15">
        <v>39277</v>
      </c>
      <c r="E5" s="15">
        <f t="shared" ca="1" si="0"/>
        <v>46195</v>
      </c>
      <c r="F5" s="1">
        <f t="shared" ca="1" si="1"/>
        <v>6918</v>
      </c>
      <c r="G5" s="1">
        <f t="shared" ca="1" si="2"/>
        <v>6740</v>
      </c>
      <c r="H5" s="1">
        <v>178</v>
      </c>
      <c r="I5" s="1">
        <v>0</v>
      </c>
      <c r="J5" s="13">
        <v>173.83333333333337</v>
      </c>
      <c r="K5" s="13">
        <f t="shared" ca="1" si="3"/>
        <v>561.66666666666663</v>
      </c>
      <c r="L5" s="1">
        <v>343</v>
      </c>
      <c r="M5" s="13">
        <f t="shared" ca="1" si="4"/>
        <v>218.66666666666663</v>
      </c>
      <c r="N5" s="13">
        <f>SUMIFS('Leave Tracker'!F:F,'Leave Tracker'!A:A,'Annual Leave Balance'!A5,'Leave Tracker'!C:C,"Annual Leave")</f>
        <v>60</v>
      </c>
      <c r="O5" s="13">
        <f t="shared" ca="1" si="5"/>
        <v>158.66666666666663</v>
      </c>
    </row>
    <row r="6" spans="1:16" hidden="1" x14ac:dyDescent="0.3">
      <c r="A6" s="1">
        <v>34</v>
      </c>
      <c r="B6" s="14" t="s">
        <v>39</v>
      </c>
      <c r="C6" s="14" t="s">
        <v>40</v>
      </c>
      <c r="D6" s="15">
        <v>39508</v>
      </c>
      <c r="E6" s="15">
        <v>46159</v>
      </c>
      <c r="F6" s="1">
        <f t="shared" si="1"/>
        <v>6651</v>
      </c>
      <c r="G6" s="1">
        <f t="shared" si="2"/>
        <v>6240</v>
      </c>
      <c r="H6" s="1">
        <v>309</v>
      </c>
      <c r="I6" s="1">
        <v>102</v>
      </c>
      <c r="J6" s="13">
        <v>3.25</v>
      </c>
      <c r="K6" s="13">
        <f t="shared" si="3"/>
        <v>520</v>
      </c>
      <c r="L6" s="1">
        <v>480</v>
      </c>
      <c r="M6" s="13">
        <f t="shared" si="4"/>
        <v>40</v>
      </c>
      <c r="N6" s="13">
        <f>SUMIFS('Leave Tracker'!F:F,'Leave Tracker'!A:A,'Annual Leave Balance'!A6,'Leave Tracker'!C:C,"Annual Leave")</f>
        <v>33</v>
      </c>
      <c r="O6" s="13">
        <f t="shared" si="5"/>
        <v>7</v>
      </c>
    </row>
    <row r="7" spans="1:16" hidden="1" x14ac:dyDescent="0.3">
      <c r="A7" s="1">
        <v>41</v>
      </c>
      <c r="B7" s="14" t="s">
        <v>41</v>
      </c>
      <c r="C7" s="14" t="s">
        <v>42</v>
      </c>
      <c r="D7" s="15">
        <v>38361</v>
      </c>
      <c r="E7" s="15">
        <f t="shared" ca="1" si="0"/>
        <v>46195</v>
      </c>
      <c r="F7" s="1">
        <f t="shared" ca="1" si="1"/>
        <v>7834</v>
      </c>
      <c r="G7" s="1">
        <f t="shared" ca="1" si="2"/>
        <v>7763</v>
      </c>
      <c r="H7" s="1">
        <v>71</v>
      </c>
      <c r="I7" s="1">
        <v>0</v>
      </c>
      <c r="J7" s="13">
        <v>-0.91666666666674246</v>
      </c>
      <c r="K7" s="13">
        <f t="shared" ca="1" si="3"/>
        <v>646.91666666666674</v>
      </c>
      <c r="L7" s="1">
        <v>580</v>
      </c>
      <c r="M7" s="13">
        <f ca="1">K7-L7</f>
        <v>66.916666666666742</v>
      </c>
      <c r="N7" s="13">
        <f>SUMIFS('Leave Tracker'!F:F,'Leave Tracker'!A:A,'Annual Leave Balance'!A7,'Leave Tracker'!C:C,"Annual Leave")</f>
        <v>60</v>
      </c>
      <c r="O7" s="13">
        <f t="shared" ca="1" si="5"/>
        <v>6.9166666666667425</v>
      </c>
    </row>
    <row r="8" spans="1:16" hidden="1" x14ac:dyDescent="0.3">
      <c r="A8" s="1">
        <v>67</v>
      </c>
      <c r="B8" s="14" t="s">
        <v>43</v>
      </c>
      <c r="C8" s="14" t="s">
        <v>44</v>
      </c>
      <c r="D8" s="15">
        <v>39358</v>
      </c>
      <c r="E8" s="15">
        <f t="shared" ca="1" si="0"/>
        <v>46195</v>
      </c>
      <c r="F8" s="1">
        <f t="shared" ca="1" si="1"/>
        <v>6837</v>
      </c>
      <c r="G8" s="1">
        <f t="shared" ca="1" si="2"/>
        <v>6727</v>
      </c>
      <c r="H8" s="1">
        <v>52</v>
      </c>
      <c r="I8" s="1">
        <v>58</v>
      </c>
      <c r="J8" s="13">
        <v>133.75</v>
      </c>
      <c r="K8" s="13">
        <f t="shared" ca="1" si="3"/>
        <v>560.58333333333326</v>
      </c>
      <c r="L8" s="1">
        <v>382</v>
      </c>
      <c r="M8" s="13">
        <f t="shared" ca="1" si="4"/>
        <v>178.58333333333326</v>
      </c>
      <c r="N8" s="13">
        <f>SUMIFS('Leave Tracker'!F:F,'Leave Tracker'!A:A,'Annual Leave Balance'!A8,'Leave Tracker'!C:C,"Annual Leave")</f>
        <v>30</v>
      </c>
      <c r="O8" s="13">
        <f t="shared" ca="1" si="5"/>
        <v>148.58333333333326</v>
      </c>
    </row>
    <row r="9" spans="1:16" hidden="1" x14ac:dyDescent="0.3">
      <c r="A9" s="1">
        <v>68</v>
      </c>
      <c r="B9" s="14" t="s">
        <v>45</v>
      </c>
      <c r="C9" s="14" t="s">
        <v>46</v>
      </c>
      <c r="D9" s="15">
        <v>38980</v>
      </c>
      <c r="E9" s="15">
        <f t="shared" ca="1" si="0"/>
        <v>46195</v>
      </c>
      <c r="F9" s="1">
        <f t="shared" ca="1" si="1"/>
        <v>7215</v>
      </c>
      <c r="G9" s="1">
        <f t="shared" ca="1" si="2"/>
        <v>7214</v>
      </c>
      <c r="H9" s="1">
        <v>1</v>
      </c>
      <c r="I9" s="1">
        <v>0</v>
      </c>
      <c r="J9" s="13">
        <v>227.33333333333337</v>
      </c>
      <c r="K9" s="13">
        <f t="shared" ca="1" si="3"/>
        <v>601.16666666666663</v>
      </c>
      <c r="L9" s="1">
        <v>329</v>
      </c>
      <c r="M9" s="13">
        <f t="shared" ca="1" si="4"/>
        <v>272.16666666666663</v>
      </c>
      <c r="N9" s="13">
        <f>SUMIFS('Leave Tracker'!F:F,'Leave Tracker'!A:A,'Annual Leave Balance'!A9,'Leave Tracker'!C:C,"Annual Leave")</f>
        <v>30</v>
      </c>
      <c r="O9" s="13">
        <f t="shared" ca="1" si="5"/>
        <v>242.16666666666663</v>
      </c>
    </row>
    <row r="10" spans="1:16" hidden="1" x14ac:dyDescent="0.3">
      <c r="A10" s="1">
        <v>81</v>
      </c>
      <c r="B10" s="14" t="s">
        <v>47</v>
      </c>
      <c r="C10" s="14" t="s">
        <v>48</v>
      </c>
      <c r="D10" s="15">
        <v>38361</v>
      </c>
      <c r="E10" s="15">
        <f t="shared" ca="1" si="0"/>
        <v>46195</v>
      </c>
      <c r="F10" s="1">
        <f t="shared" ca="1" si="1"/>
        <v>7834</v>
      </c>
      <c r="G10" s="1">
        <f t="shared" ca="1" si="2"/>
        <v>7814</v>
      </c>
      <c r="H10" s="1">
        <v>20</v>
      </c>
      <c r="I10" s="1">
        <v>0</v>
      </c>
      <c r="J10" s="13">
        <v>279.33333333333337</v>
      </c>
      <c r="K10" s="13">
        <f t="shared" ca="1" si="3"/>
        <v>651.16666666666663</v>
      </c>
      <c r="L10" s="1">
        <v>327</v>
      </c>
      <c r="M10" s="13">
        <f t="shared" ca="1" si="4"/>
        <v>324.16666666666663</v>
      </c>
      <c r="N10" s="13">
        <f>SUMIFS('Leave Tracker'!F:F,'Leave Tracker'!A:A,'Annual Leave Balance'!A10,'Leave Tracker'!C:C,"Annual Leave")</f>
        <v>0</v>
      </c>
      <c r="O10" s="13">
        <f t="shared" ca="1" si="5"/>
        <v>324.16666666666663</v>
      </c>
    </row>
    <row r="11" spans="1:16" hidden="1" x14ac:dyDescent="0.3">
      <c r="A11" s="1">
        <v>93</v>
      </c>
      <c r="B11" s="14" t="s">
        <v>49</v>
      </c>
      <c r="C11" s="14" t="s">
        <v>50</v>
      </c>
      <c r="D11" s="15">
        <v>39480</v>
      </c>
      <c r="E11" s="15">
        <f t="shared" ca="1" si="0"/>
        <v>46195</v>
      </c>
      <c r="F11" s="1">
        <f t="shared" ca="1" si="1"/>
        <v>6715</v>
      </c>
      <c r="G11" s="1">
        <f t="shared" ca="1" si="2"/>
        <v>6684</v>
      </c>
      <c r="H11" s="1">
        <v>31</v>
      </c>
      <c r="I11" s="1">
        <v>0</v>
      </c>
      <c r="J11" s="13">
        <v>301.16666666666674</v>
      </c>
      <c r="K11" s="13">
        <f t="shared" ca="1" si="3"/>
        <v>557</v>
      </c>
      <c r="L11" s="1">
        <v>211</v>
      </c>
      <c r="M11" s="13">
        <f t="shared" ca="1" si="4"/>
        <v>346</v>
      </c>
      <c r="N11" s="13">
        <f>SUMIFS('Leave Tracker'!F:F,'Leave Tracker'!A:A,'Annual Leave Balance'!A11,'Leave Tracker'!C:C,"Annual Leave")</f>
        <v>0</v>
      </c>
      <c r="O11" s="13">
        <v>264</v>
      </c>
    </row>
    <row r="12" spans="1:16" hidden="1" x14ac:dyDescent="0.3">
      <c r="A12" s="1">
        <v>102</v>
      </c>
      <c r="B12" s="14" t="s">
        <v>51</v>
      </c>
      <c r="C12" s="14" t="s">
        <v>52</v>
      </c>
      <c r="D12" s="15">
        <v>38964</v>
      </c>
      <c r="E12" s="15">
        <f t="shared" ca="1" si="0"/>
        <v>46195</v>
      </c>
      <c r="F12" s="1">
        <f t="shared" ca="1" si="1"/>
        <v>7231</v>
      </c>
      <c r="G12" s="1">
        <f t="shared" ca="1" si="2"/>
        <v>7207</v>
      </c>
      <c r="H12" s="1">
        <v>7</v>
      </c>
      <c r="I12" s="1">
        <v>17</v>
      </c>
      <c r="J12" s="13">
        <v>105.75</v>
      </c>
      <c r="K12" s="13">
        <f t="shared" ca="1" si="3"/>
        <v>600.58333333333337</v>
      </c>
      <c r="L12" s="1">
        <v>450</v>
      </c>
      <c r="M12" s="13">
        <f t="shared" ca="1" si="4"/>
        <v>150.58333333333337</v>
      </c>
      <c r="N12" s="13">
        <f>SUMIFS('Leave Tracker'!F:F,'Leave Tracker'!A:A,'Annual Leave Balance'!A12,'Leave Tracker'!C:C,"Annual Leave")</f>
        <v>29</v>
      </c>
      <c r="O12" s="13">
        <f t="shared" ca="1" si="5"/>
        <v>121.58333333333337</v>
      </c>
    </row>
    <row r="13" spans="1:16" hidden="1" x14ac:dyDescent="0.3">
      <c r="A13" s="1">
        <v>116</v>
      </c>
      <c r="B13" s="14" t="s">
        <v>53</v>
      </c>
      <c r="C13" s="14" t="s">
        <v>54</v>
      </c>
      <c r="D13" s="15">
        <v>39455</v>
      </c>
      <c r="E13" s="15">
        <f t="shared" ca="1" si="0"/>
        <v>46195</v>
      </c>
      <c r="F13" s="1">
        <f t="shared" ca="1" si="1"/>
        <v>6740</v>
      </c>
      <c r="G13" s="1">
        <f t="shared" ca="1" si="2"/>
        <v>6662</v>
      </c>
      <c r="H13" s="1">
        <v>78</v>
      </c>
      <c r="I13" s="1">
        <v>0</v>
      </c>
      <c r="J13" s="13">
        <v>205.33333333333337</v>
      </c>
      <c r="K13" s="13">
        <f t="shared" ca="1" si="3"/>
        <v>555.16666666666674</v>
      </c>
      <c r="L13" s="1">
        <v>305</v>
      </c>
      <c r="M13" s="13">
        <f t="shared" ca="1" si="4"/>
        <v>250.16666666666674</v>
      </c>
      <c r="N13" s="13">
        <f>SUMIFS('Leave Tracker'!F:F,'Leave Tracker'!A:A,'Annual Leave Balance'!A13,'Leave Tracker'!C:C,"Annual Leave")</f>
        <v>0</v>
      </c>
      <c r="O13" s="13">
        <f t="shared" ca="1" si="5"/>
        <v>250.16666666666674</v>
      </c>
    </row>
    <row r="14" spans="1:16" hidden="1" x14ac:dyDescent="0.3">
      <c r="A14" s="1">
        <v>142</v>
      </c>
      <c r="B14" s="14" t="s">
        <v>55</v>
      </c>
      <c r="C14" s="14" t="s">
        <v>56</v>
      </c>
      <c r="D14" s="15">
        <v>38936</v>
      </c>
      <c r="E14" s="15">
        <f t="shared" ca="1" si="0"/>
        <v>46195</v>
      </c>
      <c r="F14" s="1">
        <f t="shared" ca="1" si="1"/>
        <v>7259</v>
      </c>
      <c r="G14" s="1">
        <f t="shared" ca="1" si="2"/>
        <v>7259</v>
      </c>
      <c r="H14" s="1">
        <v>0</v>
      </c>
      <c r="I14" s="1">
        <v>0</v>
      </c>
      <c r="J14" s="13">
        <v>239.08333333333337</v>
      </c>
      <c r="K14" s="13">
        <f t="shared" ca="1" si="3"/>
        <v>604.91666666666663</v>
      </c>
      <c r="L14" s="1">
        <v>321</v>
      </c>
      <c r="M14" s="13">
        <f t="shared" ca="1" si="4"/>
        <v>283.91666666666663</v>
      </c>
      <c r="N14" s="13">
        <f>SUMIFS('Leave Tracker'!F:F,'Leave Tracker'!A:A,'Annual Leave Balance'!A14,'Leave Tracker'!C:C,"Annual Leave")</f>
        <v>36</v>
      </c>
      <c r="O14" s="13">
        <f t="shared" ca="1" si="5"/>
        <v>247.91666666666663</v>
      </c>
      <c r="P14" t="s">
        <v>633</v>
      </c>
    </row>
    <row r="15" spans="1:16" hidden="1" x14ac:dyDescent="0.3">
      <c r="A15" s="1">
        <v>147</v>
      </c>
      <c r="B15" s="14" t="s">
        <v>57</v>
      </c>
      <c r="C15" s="14" t="s">
        <v>58</v>
      </c>
      <c r="D15" s="15">
        <v>39370</v>
      </c>
      <c r="E15" s="15">
        <f t="shared" ca="1" si="0"/>
        <v>46195</v>
      </c>
      <c r="F15" s="1">
        <f t="shared" ca="1" si="1"/>
        <v>6825</v>
      </c>
      <c r="G15" s="1">
        <f t="shared" ca="1" si="2"/>
        <v>6782</v>
      </c>
      <c r="H15" s="1">
        <v>43</v>
      </c>
      <c r="I15" s="1">
        <v>0</v>
      </c>
      <c r="J15" s="13">
        <v>143.33333333333337</v>
      </c>
      <c r="K15" s="13">
        <f t="shared" ca="1" si="3"/>
        <v>565.16666666666663</v>
      </c>
      <c r="L15" s="1">
        <v>377</v>
      </c>
      <c r="M15" s="13">
        <f t="shared" ca="1" si="4"/>
        <v>188.16666666666663</v>
      </c>
      <c r="N15" s="13">
        <f>SUMIFS('Leave Tracker'!F:F,'Leave Tracker'!A:A,'Annual Leave Balance'!A15,'Leave Tracker'!C:C,"Annual Leave")</f>
        <v>0</v>
      </c>
      <c r="O15" s="13">
        <f t="shared" ca="1" si="5"/>
        <v>188.16666666666663</v>
      </c>
    </row>
    <row r="16" spans="1:16" hidden="1" x14ac:dyDescent="0.3">
      <c r="A16" s="1">
        <v>166</v>
      </c>
      <c r="B16" s="47" t="s">
        <v>59</v>
      </c>
      <c r="C16" s="14" t="s">
        <v>60</v>
      </c>
      <c r="D16" s="15">
        <v>38976</v>
      </c>
      <c r="E16" s="15">
        <v>46022</v>
      </c>
      <c r="F16" s="1">
        <f t="shared" si="1"/>
        <v>7046</v>
      </c>
      <c r="G16" s="1">
        <f t="shared" si="2"/>
        <v>6993</v>
      </c>
      <c r="H16" s="1">
        <v>53</v>
      </c>
      <c r="I16" s="1">
        <v>0</v>
      </c>
      <c r="J16" s="13">
        <v>70.333333333333371</v>
      </c>
      <c r="K16" s="13">
        <f t="shared" si="3"/>
        <v>582.75</v>
      </c>
      <c r="L16" s="1">
        <v>482</v>
      </c>
      <c r="M16" s="13">
        <f t="shared" si="4"/>
        <v>100.75</v>
      </c>
      <c r="N16" s="13">
        <f>SUMIFS('Leave Tracker'!F:F,'Leave Tracker'!A:A,'Annual Leave Balance'!A16,'Leave Tracker'!C:C,"Annual Leave")</f>
        <v>62</v>
      </c>
      <c r="O16" s="13">
        <f t="shared" si="5"/>
        <v>38.75</v>
      </c>
    </row>
    <row r="17" spans="1:15" hidden="1" x14ac:dyDescent="0.3">
      <c r="A17" s="1">
        <v>190</v>
      </c>
      <c r="B17" s="14" t="s">
        <v>61</v>
      </c>
      <c r="C17" s="14" t="s">
        <v>62</v>
      </c>
      <c r="D17" s="15">
        <v>38969</v>
      </c>
      <c r="E17" s="15">
        <f t="shared" ca="1" si="0"/>
        <v>46195</v>
      </c>
      <c r="F17" s="1">
        <f t="shared" ca="1" si="1"/>
        <v>7226</v>
      </c>
      <c r="G17" s="1">
        <f t="shared" ca="1" si="2"/>
        <v>7196</v>
      </c>
      <c r="H17" s="1">
        <v>6</v>
      </c>
      <c r="I17" s="1">
        <v>24</v>
      </c>
      <c r="J17" s="13">
        <v>206.83333333333326</v>
      </c>
      <c r="K17" s="13">
        <f t="shared" ca="1" si="3"/>
        <v>599.66666666666663</v>
      </c>
      <c r="L17" s="1">
        <v>348</v>
      </c>
      <c r="M17" s="13">
        <f t="shared" ca="1" si="4"/>
        <v>251.66666666666663</v>
      </c>
      <c r="N17" s="13">
        <f>SUMIFS('Leave Tracker'!F:F,'Leave Tracker'!A:A,'Annual Leave Balance'!A17,'Leave Tracker'!C:C,"Annual Leave")</f>
        <v>9</v>
      </c>
      <c r="O17" s="13">
        <f t="shared" ca="1" si="5"/>
        <v>242.66666666666663</v>
      </c>
    </row>
    <row r="18" spans="1:15" hidden="1" x14ac:dyDescent="0.3">
      <c r="A18" s="1">
        <v>194</v>
      </c>
      <c r="B18" s="14" t="s">
        <v>63</v>
      </c>
      <c r="C18" s="14" t="s">
        <v>64</v>
      </c>
      <c r="D18" s="15">
        <v>38620</v>
      </c>
      <c r="E18" s="15">
        <f t="shared" ca="1" si="0"/>
        <v>46195</v>
      </c>
      <c r="F18" s="1">
        <f t="shared" ca="1" si="1"/>
        <v>7575</v>
      </c>
      <c r="G18" s="1">
        <f t="shared" ca="1" si="2"/>
        <v>7434</v>
      </c>
      <c r="H18" s="1">
        <v>141</v>
      </c>
      <c r="I18" s="1">
        <v>0</v>
      </c>
      <c r="J18" s="13">
        <v>242.66666666666663</v>
      </c>
      <c r="K18" s="13">
        <f t="shared" ca="1" si="3"/>
        <v>619.5</v>
      </c>
      <c r="L18" s="1">
        <v>332</v>
      </c>
      <c r="M18" s="13">
        <f t="shared" ca="1" si="4"/>
        <v>287.5</v>
      </c>
      <c r="N18" s="13">
        <f>SUMIFS('Leave Tracker'!F:F,'Leave Tracker'!A:A,'Annual Leave Balance'!A18,'Leave Tracker'!C:C,"Annual Leave")</f>
        <v>35</v>
      </c>
      <c r="O18" s="13">
        <f t="shared" ca="1" si="5"/>
        <v>252.5</v>
      </c>
    </row>
    <row r="19" spans="1:15" hidden="1" x14ac:dyDescent="0.3">
      <c r="A19" s="1">
        <v>225</v>
      </c>
      <c r="B19" s="14" t="s">
        <v>65</v>
      </c>
      <c r="C19" s="14" t="s">
        <v>58</v>
      </c>
      <c r="D19" s="15">
        <v>39452</v>
      </c>
      <c r="E19" s="15">
        <f t="shared" ca="1" si="0"/>
        <v>46195</v>
      </c>
      <c r="F19" s="1">
        <f t="shared" ca="1" si="1"/>
        <v>6743</v>
      </c>
      <c r="G19" s="1">
        <f t="shared" ca="1" si="2"/>
        <v>6724</v>
      </c>
      <c r="H19" s="1">
        <v>19</v>
      </c>
      <c r="I19" s="1">
        <v>0</v>
      </c>
      <c r="J19" s="13">
        <v>91.5</v>
      </c>
      <c r="K19" s="13">
        <f t="shared" ca="1" si="3"/>
        <v>560.33333333333326</v>
      </c>
      <c r="L19" s="1">
        <v>424</v>
      </c>
      <c r="M19" s="13">
        <f t="shared" ca="1" si="4"/>
        <v>136.33333333333326</v>
      </c>
      <c r="N19" s="13">
        <f>SUMIFS('Leave Tracker'!F:F,'Leave Tracker'!A:A,'Annual Leave Balance'!A19,'Leave Tracker'!C:C,"Annual Leave")</f>
        <v>0</v>
      </c>
      <c r="O19" s="13">
        <f t="shared" ca="1" si="5"/>
        <v>136.33333333333326</v>
      </c>
    </row>
    <row r="20" spans="1:15" hidden="1" x14ac:dyDescent="0.3">
      <c r="A20" s="1">
        <v>227</v>
      </c>
      <c r="B20" s="14" t="s">
        <v>66</v>
      </c>
      <c r="C20" s="14" t="s">
        <v>42</v>
      </c>
      <c r="D20" s="15">
        <v>39365</v>
      </c>
      <c r="E20" s="15">
        <f t="shared" ca="1" si="0"/>
        <v>46195</v>
      </c>
      <c r="F20" s="1">
        <f t="shared" ca="1" si="1"/>
        <v>6830</v>
      </c>
      <c r="G20" s="1">
        <f t="shared" ca="1" si="2"/>
        <v>6511</v>
      </c>
      <c r="H20" s="1">
        <v>289</v>
      </c>
      <c r="I20" s="1">
        <v>30</v>
      </c>
      <c r="J20" s="13">
        <v>10.749999999999943</v>
      </c>
      <c r="K20" s="13">
        <f t="shared" ca="1" si="3"/>
        <v>542.58333333333337</v>
      </c>
      <c r="L20" s="1">
        <v>487</v>
      </c>
      <c r="M20" s="13">
        <f t="shared" ca="1" si="4"/>
        <v>55.583333333333371</v>
      </c>
      <c r="N20" s="13">
        <f>SUMIFS('Leave Tracker'!F:F,'Leave Tracker'!A:A,'Annual Leave Balance'!A20,'Leave Tracker'!C:C,"Annual Leave")</f>
        <v>0</v>
      </c>
      <c r="O20" s="13">
        <f t="shared" ca="1" si="5"/>
        <v>55.583333333333371</v>
      </c>
    </row>
    <row r="21" spans="1:15" hidden="1" x14ac:dyDescent="0.3">
      <c r="A21" s="1">
        <v>231</v>
      </c>
      <c r="B21" s="14" t="s">
        <v>67</v>
      </c>
      <c r="C21" s="14" t="s">
        <v>68</v>
      </c>
      <c r="D21" s="15">
        <v>38980</v>
      </c>
      <c r="E21" s="15">
        <f t="shared" ca="1" si="0"/>
        <v>46195</v>
      </c>
      <c r="F21" s="1">
        <f t="shared" ca="1" si="1"/>
        <v>7215</v>
      </c>
      <c r="G21" s="1">
        <f t="shared" ca="1" si="2"/>
        <v>7117</v>
      </c>
      <c r="H21" s="1">
        <v>98</v>
      </c>
      <c r="I21" s="1">
        <v>0</v>
      </c>
      <c r="J21" s="13">
        <v>134.25</v>
      </c>
      <c r="K21" s="13">
        <f t="shared" ca="1" si="3"/>
        <v>593.08333333333337</v>
      </c>
      <c r="L21" s="1">
        <v>414</v>
      </c>
      <c r="M21" s="13">
        <f t="shared" ca="1" si="4"/>
        <v>179.08333333333337</v>
      </c>
      <c r="N21" s="13">
        <f>SUMIFS('Leave Tracker'!F:F,'Leave Tracker'!A:A,'Annual Leave Balance'!A21,'Leave Tracker'!C:C,"Annual Leave")</f>
        <v>0</v>
      </c>
      <c r="O21" s="13">
        <f t="shared" ca="1" si="5"/>
        <v>179.08333333333337</v>
      </c>
    </row>
    <row r="22" spans="1:15" hidden="1" x14ac:dyDescent="0.3">
      <c r="A22" s="1">
        <v>232</v>
      </c>
      <c r="B22" s="14" t="s">
        <v>69</v>
      </c>
      <c r="C22" s="14" t="s">
        <v>70</v>
      </c>
      <c r="D22" s="15">
        <v>39442</v>
      </c>
      <c r="E22" s="15">
        <f t="shared" ca="1" si="0"/>
        <v>46195</v>
      </c>
      <c r="F22" s="1">
        <f t="shared" ca="1" si="1"/>
        <v>6753</v>
      </c>
      <c r="G22" s="1">
        <f t="shared" ca="1" si="2"/>
        <v>6664</v>
      </c>
      <c r="H22" s="1">
        <v>89</v>
      </c>
      <c r="I22" s="1">
        <v>0</v>
      </c>
      <c r="J22" s="13">
        <v>74.5</v>
      </c>
      <c r="K22" s="13">
        <f t="shared" ca="1" si="3"/>
        <v>555.33333333333337</v>
      </c>
      <c r="L22" s="1">
        <v>436</v>
      </c>
      <c r="M22" s="13">
        <f t="shared" ca="1" si="4"/>
        <v>119.33333333333337</v>
      </c>
      <c r="N22" s="13">
        <f>SUMIFS('Leave Tracker'!F:F,'Leave Tracker'!A:A,'Annual Leave Balance'!A22,'Leave Tracker'!C:C,"Annual Leave")</f>
        <v>60</v>
      </c>
      <c r="O22" s="13">
        <f t="shared" ca="1" si="5"/>
        <v>59.333333333333371</v>
      </c>
    </row>
    <row r="23" spans="1:15" hidden="1" x14ac:dyDescent="0.3">
      <c r="A23" s="1">
        <v>234</v>
      </c>
      <c r="B23" s="14" t="s">
        <v>71</v>
      </c>
      <c r="C23" s="14" t="s">
        <v>72</v>
      </c>
      <c r="D23" s="15">
        <v>38388</v>
      </c>
      <c r="E23" s="15">
        <f t="shared" ca="1" si="0"/>
        <v>46195</v>
      </c>
      <c r="F23" s="1">
        <f t="shared" ca="1" si="1"/>
        <v>7807</v>
      </c>
      <c r="G23" s="1">
        <f t="shared" ca="1" si="2"/>
        <v>7427</v>
      </c>
      <c r="H23" s="1">
        <v>349</v>
      </c>
      <c r="I23" s="1">
        <v>31</v>
      </c>
      <c r="J23" s="13">
        <v>107.08333333333337</v>
      </c>
      <c r="K23" s="13">
        <f t="shared" ca="1" si="3"/>
        <v>618.91666666666674</v>
      </c>
      <c r="L23" s="1">
        <v>467</v>
      </c>
      <c r="M23" s="13">
        <f t="shared" ca="1" si="4"/>
        <v>151.91666666666674</v>
      </c>
      <c r="N23" s="13">
        <f>SUMIFS('Leave Tracker'!F:F,'Leave Tracker'!A:A,'Annual Leave Balance'!A23,'Leave Tracker'!C:C,"Annual Leave")</f>
        <v>61</v>
      </c>
      <c r="O23" s="13">
        <f t="shared" ca="1" si="5"/>
        <v>90.916666666666742</v>
      </c>
    </row>
    <row r="24" spans="1:15" hidden="1" x14ac:dyDescent="0.3">
      <c r="A24" s="1">
        <v>235</v>
      </c>
      <c r="B24" s="14" t="s">
        <v>73</v>
      </c>
      <c r="C24" s="14" t="s">
        <v>74</v>
      </c>
      <c r="D24" s="15">
        <v>38808</v>
      </c>
      <c r="E24" s="15">
        <f t="shared" ca="1" si="0"/>
        <v>46195</v>
      </c>
      <c r="F24" s="1">
        <f t="shared" ca="1" si="1"/>
        <v>7387</v>
      </c>
      <c r="G24" s="1">
        <f t="shared" ca="1" si="2"/>
        <v>7399</v>
      </c>
      <c r="H24" s="1">
        <v>-12</v>
      </c>
      <c r="I24" s="1">
        <v>0</v>
      </c>
      <c r="J24" s="13">
        <v>225.75</v>
      </c>
      <c r="K24" s="13">
        <f t="shared" ca="1" si="3"/>
        <v>616.58333333333326</v>
      </c>
      <c r="L24" s="1">
        <v>346</v>
      </c>
      <c r="M24" s="13">
        <f t="shared" ca="1" si="4"/>
        <v>270.58333333333326</v>
      </c>
      <c r="N24" s="13">
        <f>SUMIFS('Leave Tracker'!F:F,'Leave Tracker'!A:A,'Annual Leave Balance'!A24,'Leave Tracker'!C:C,"Annual Leave")</f>
        <v>27</v>
      </c>
      <c r="O24" s="13">
        <f t="shared" ca="1" si="5"/>
        <v>243.58333333333326</v>
      </c>
    </row>
    <row r="25" spans="1:15" hidden="1" x14ac:dyDescent="0.3">
      <c r="A25" s="1">
        <v>266</v>
      </c>
      <c r="B25" s="14" t="s">
        <v>75</v>
      </c>
      <c r="C25" s="14" t="s">
        <v>76</v>
      </c>
      <c r="D25" s="15">
        <v>39337</v>
      </c>
      <c r="E25" s="15">
        <f t="shared" ca="1" si="0"/>
        <v>46195</v>
      </c>
      <c r="F25" s="1">
        <f t="shared" ca="1" si="1"/>
        <v>6858</v>
      </c>
      <c r="G25" s="1">
        <f t="shared" ca="1" si="2"/>
        <v>6797</v>
      </c>
      <c r="H25" s="1">
        <v>61</v>
      </c>
      <c r="I25" s="1">
        <v>0</v>
      </c>
      <c r="J25" s="13">
        <v>105.58333333333337</v>
      </c>
      <c r="K25" s="13">
        <f t="shared" ca="1" si="3"/>
        <v>566.41666666666674</v>
      </c>
      <c r="L25" s="1">
        <v>416</v>
      </c>
      <c r="M25" s="13">
        <f t="shared" ca="1" si="4"/>
        <v>150.41666666666674</v>
      </c>
      <c r="N25" s="13">
        <f>SUMIFS('Leave Tracker'!F:F,'Leave Tracker'!A:A,'Annual Leave Balance'!A25,'Leave Tracker'!C:C,"Annual Leave")</f>
        <v>48</v>
      </c>
      <c r="O25" s="13">
        <f t="shared" ca="1" si="5"/>
        <v>102.41666666666674</v>
      </c>
    </row>
    <row r="26" spans="1:15" hidden="1" x14ac:dyDescent="0.3">
      <c r="A26" s="1">
        <v>276</v>
      </c>
      <c r="B26" s="14" t="s">
        <v>77</v>
      </c>
      <c r="C26" s="14" t="s">
        <v>78</v>
      </c>
      <c r="D26" s="15">
        <v>39062</v>
      </c>
      <c r="E26" s="15">
        <f t="shared" ca="1" si="0"/>
        <v>46195</v>
      </c>
      <c r="F26" s="1">
        <f t="shared" ca="1" si="1"/>
        <v>7133</v>
      </c>
      <c r="G26" s="1">
        <f t="shared" ca="1" si="2"/>
        <v>6937</v>
      </c>
      <c r="H26" s="1">
        <v>196</v>
      </c>
      <c r="I26" s="1">
        <v>0</v>
      </c>
      <c r="J26" s="13">
        <v>108.25</v>
      </c>
      <c r="K26" s="13">
        <f t="shared" ca="1" si="3"/>
        <v>578.08333333333337</v>
      </c>
      <c r="L26" s="1">
        <v>425</v>
      </c>
      <c r="M26" s="13">
        <f t="shared" ca="1" si="4"/>
        <v>153.08333333333337</v>
      </c>
      <c r="N26" s="13">
        <f>SUMIFS('Leave Tracker'!F:F,'Leave Tracker'!A:A,'Annual Leave Balance'!A26,'Leave Tracker'!C:C,"Annual Leave")</f>
        <v>0</v>
      </c>
      <c r="O26" s="13">
        <f t="shared" ca="1" si="5"/>
        <v>153.08333333333337</v>
      </c>
    </row>
    <row r="27" spans="1:15" hidden="1" x14ac:dyDescent="0.3">
      <c r="A27" s="1">
        <v>279</v>
      </c>
      <c r="B27" s="14" t="s">
        <v>79</v>
      </c>
      <c r="C27" s="14" t="s">
        <v>58</v>
      </c>
      <c r="D27" s="15">
        <v>38682</v>
      </c>
      <c r="E27" s="15">
        <f t="shared" ca="1" si="0"/>
        <v>46195</v>
      </c>
      <c r="F27" s="1">
        <f t="shared" ca="1" si="1"/>
        <v>7513</v>
      </c>
      <c r="G27" s="1">
        <f t="shared" ca="1" si="2"/>
        <v>7376</v>
      </c>
      <c r="H27" s="1">
        <v>90</v>
      </c>
      <c r="I27" s="1">
        <v>47</v>
      </c>
      <c r="J27" s="13">
        <v>-18.166666666666742</v>
      </c>
      <c r="K27" s="13">
        <f t="shared" ca="1" si="3"/>
        <v>614.66666666666663</v>
      </c>
      <c r="L27" s="1">
        <v>588</v>
      </c>
      <c r="M27" s="13">
        <f t="shared" ca="1" si="4"/>
        <v>26.666666666666629</v>
      </c>
      <c r="N27" s="13">
        <f>SUMIFS('Leave Tracker'!F:F,'Leave Tracker'!A:A,'Annual Leave Balance'!A27,'Leave Tracker'!C:C,"Annual Leave")</f>
        <v>111</v>
      </c>
      <c r="O27" s="13">
        <f t="shared" ca="1" si="5"/>
        <v>-84.333333333333371</v>
      </c>
    </row>
    <row r="28" spans="1:15" hidden="1" x14ac:dyDescent="0.3">
      <c r="A28" s="1">
        <v>310</v>
      </c>
      <c r="B28" s="14" t="s">
        <v>80</v>
      </c>
      <c r="C28" s="14" t="s">
        <v>81</v>
      </c>
      <c r="D28" s="15">
        <v>39061</v>
      </c>
      <c r="E28" s="15">
        <f t="shared" ca="1" si="0"/>
        <v>46195</v>
      </c>
      <c r="F28" s="1">
        <f t="shared" ca="1" si="1"/>
        <v>7134</v>
      </c>
      <c r="G28" s="1">
        <f t="shared" ca="1" si="2"/>
        <v>6887</v>
      </c>
      <c r="H28" s="1">
        <v>247</v>
      </c>
      <c r="I28" s="1">
        <v>0</v>
      </c>
      <c r="J28" s="13">
        <v>-12.916666666666629</v>
      </c>
      <c r="K28" s="13">
        <f t="shared" ca="1" si="3"/>
        <v>573.91666666666674</v>
      </c>
      <c r="L28" s="1">
        <v>542</v>
      </c>
      <c r="M28" s="13">
        <f t="shared" ca="1" si="4"/>
        <v>31.916666666666742</v>
      </c>
      <c r="N28" s="13">
        <f>SUMIFS('Leave Tracker'!F:F,'Leave Tracker'!A:A,'Annual Leave Balance'!A28,'Leave Tracker'!C:C,"Annual Leave")</f>
        <v>62</v>
      </c>
      <c r="O28" s="13">
        <f t="shared" ca="1" si="5"/>
        <v>-30.083333333333258</v>
      </c>
    </row>
    <row r="29" spans="1:15" hidden="1" x14ac:dyDescent="0.3">
      <c r="A29" s="1">
        <v>331</v>
      </c>
      <c r="B29" s="14" t="s">
        <v>82</v>
      </c>
      <c r="C29" s="14" t="s">
        <v>83</v>
      </c>
      <c r="D29" s="15">
        <v>38843</v>
      </c>
      <c r="E29" s="15">
        <f t="shared" ca="1" si="0"/>
        <v>46195</v>
      </c>
      <c r="F29" s="1">
        <f t="shared" ca="1" si="1"/>
        <v>7352</v>
      </c>
      <c r="G29" s="1">
        <f t="shared" ca="1" si="2"/>
        <v>7322</v>
      </c>
      <c r="H29" s="1">
        <v>30</v>
      </c>
      <c r="I29" s="1">
        <v>0</v>
      </c>
      <c r="J29" s="13">
        <v>80.333333333333371</v>
      </c>
      <c r="K29" s="13">
        <f t="shared" ca="1" si="3"/>
        <v>610.16666666666663</v>
      </c>
      <c r="L29" s="1">
        <v>485</v>
      </c>
      <c r="M29" s="13">
        <f t="shared" ca="1" si="4"/>
        <v>125.16666666666663</v>
      </c>
      <c r="N29" s="13">
        <f>SUMIFS('Leave Tracker'!F:F,'Leave Tracker'!A:A,'Annual Leave Balance'!A29,'Leave Tracker'!C:C,"Annual Leave")</f>
        <v>62</v>
      </c>
      <c r="O29" s="13">
        <f t="shared" ca="1" si="5"/>
        <v>63.166666666666629</v>
      </c>
    </row>
    <row r="30" spans="1:15" hidden="1" x14ac:dyDescent="0.3">
      <c r="A30" s="1">
        <v>333</v>
      </c>
      <c r="B30" s="14" t="s">
        <v>84</v>
      </c>
      <c r="C30" s="14" t="s">
        <v>85</v>
      </c>
      <c r="D30" s="15">
        <v>38980</v>
      </c>
      <c r="E30" s="15">
        <f t="shared" ca="1" si="0"/>
        <v>46195</v>
      </c>
      <c r="F30" s="1">
        <f t="shared" ca="1" si="1"/>
        <v>7215</v>
      </c>
      <c r="G30" s="1">
        <f t="shared" ca="1" si="2"/>
        <v>7070</v>
      </c>
      <c r="H30" s="1">
        <v>145</v>
      </c>
      <c r="I30" s="1">
        <v>0</v>
      </c>
      <c r="J30" s="13">
        <v>81.333333333333371</v>
      </c>
      <c r="K30" s="13">
        <f t="shared" ca="1" si="3"/>
        <v>589.16666666666663</v>
      </c>
      <c r="L30" s="1">
        <v>463</v>
      </c>
      <c r="M30" s="13">
        <f t="shared" ca="1" si="4"/>
        <v>126.16666666666663</v>
      </c>
      <c r="N30" s="13">
        <f>SUMIFS('Leave Tracker'!F:F,'Leave Tracker'!A:A,'Annual Leave Balance'!A30,'Leave Tracker'!C:C,"Annual Leave")</f>
        <v>63</v>
      </c>
      <c r="O30" s="13">
        <f t="shared" ca="1" si="5"/>
        <v>63.166666666666629</v>
      </c>
    </row>
    <row r="31" spans="1:15" hidden="1" x14ac:dyDescent="0.3">
      <c r="A31" s="1">
        <v>334</v>
      </c>
      <c r="B31" s="14" t="s">
        <v>86</v>
      </c>
      <c r="C31" s="14" t="s">
        <v>87</v>
      </c>
      <c r="D31" s="15">
        <v>38476</v>
      </c>
      <c r="E31" s="15">
        <f t="shared" ca="1" si="0"/>
        <v>46195</v>
      </c>
      <c r="F31" s="1">
        <f t="shared" ca="1" si="1"/>
        <v>7719</v>
      </c>
      <c r="G31" s="1">
        <f t="shared" ca="1" si="2"/>
        <v>7656</v>
      </c>
      <c r="H31" s="1">
        <v>63</v>
      </c>
      <c r="I31" s="1">
        <v>0</v>
      </c>
      <c r="J31" s="13">
        <v>262.16666666666663</v>
      </c>
      <c r="K31" s="13">
        <f t="shared" ca="1" si="3"/>
        <v>638</v>
      </c>
      <c r="L31" s="1">
        <v>331</v>
      </c>
      <c r="M31" s="13">
        <f t="shared" ca="1" si="4"/>
        <v>307</v>
      </c>
      <c r="N31" s="13">
        <f>SUMIFS('Leave Tracker'!F:F,'Leave Tracker'!A:A,'Annual Leave Balance'!A31,'Leave Tracker'!C:C,"Annual Leave")</f>
        <v>13</v>
      </c>
      <c r="O31" s="13">
        <f t="shared" ca="1" si="5"/>
        <v>294</v>
      </c>
    </row>
    <row r="32" spans="1:15" hidden="1" x14ac:dyDescent="0.3">
      <c r="A32" s="1">
        <v>338</v>
      </c>
      <c r="B32" s="14" t="s">
        <v>88</v>
      </c>
      <c r="C32" s="14" t="s">
        <v>48</v>
      </c>
      <c r="D32" s="15">
        <v>42747</v>
      </c>
      <c r="E32" s="15">
        <f t="shared" ca="1" si="0"/>
        <v>46195</v>
      </c>
      <c r="F32" s="1">
        <f t="shared" ca="1" si="1"/>
        <v>3448</v>
      </c>
      <c r="G32" s="1">
        <f t="shared" ca="1" si="2"/>
        <v>3276</v>
      </c>
      <c r="H32" s="1">
        <v>172</v>
      </c>
      <c r="I32" s="1">
        <v>0</v>
      </c>
      <c r="J32" s="13">
        <v>25.166666666666657</v>
      </c>
      <c r="K32" s="13">
        <f t="shared" ca="1" si="3"/>
        <v>273</v>
      </c>
      <c r="L32" s="1">
        <v>203</v>
      </c>
      <c r="M32" s="13">
        <f t="shared" ca="1" si="4"/>
        <v>70</v>
      </c>
      <c r="N32" s="13">
        <v>62</v>
      </c>
      <c r="O32" s="13">
        <f t="shared" ca="1" si="5"/>
        <v>8</v>
      </c>
    </row>
    <row r="33" spans="1:15" hidden="1" x14ac:dyDescent="0.3">
      <c r="A33" s="1">
        <v>351</v>
      </c>
      <c r="B33" s="14" t="s">
        <v>89</v>
      </c>
      <c r="C33" s="14" t="s">
        <v>64</v>
      </c>
      <c r="D33" s="15">
        <v>39547</v>
      </c>
      <c r="E33" s="15">
        <f t="shared" ca="1" si="0"/>
        <v>46195</v>
      </c>
      <c r="F33" s="1">
        <f t="shared" ca="1" si="1"/>
        <v>6648</v>
      </c>
      <c r="G33" s="1">
        <f t="shared" ca="1" si="2"/>
        <v>6645</v>
      </c>
      <c r="H33" s="1">
        <v>3</v>
      </c>
      <c r="I33" s="1">
        <v>0</v>
      </c>
      <c r="J33" s="13">
        <v>91.916666666666629</v>
      </c>
      <c r="K33" s="13">
        <f t="shared" ca="1" si="3"/>
        <v>553.75</v>
      </c>
      <c r="L33" s="1">
        <v>417</v>
      </c>
      <c r="M33" s="13">
        <f t="shared" ca="1" si="4"/>
        <v>136.75</v>
      </c>
      <c r="N33" s="13">
        <f>SUMIFS('Leave Tracker'!F:F,'Leave Tracker'!A:A,'Annual Leave Balance'!A33,'Leave Tracker'!C:C,"Annual Leave")</f>
        <v>63</v>
      </c>
      <c r="O33" s="13">
        <f t="shared" ca="1" si="5"/>
        <v>73.75</v>
      </c>
    </row>
    <row r="34" spans="1:15" hidden="1" x14ac:dyDescent="0.3">
      <c r="A34" s="1">
        <v>356</v>
      </c>
      <c r="B34" s="14" t="s">
        <v>90</v>
      </c>
      <c r="C34" s="14" t="s">
        <v>68</v>
      </c>
      <c r="D34" s="15">
        <v>39568</v>
      </c>
      <c r="E34" s="15">
        <f t="shared" ca="1" si="0"/>
        <v>46195</v>
      </c>
      <c r="F34" s="1">
        <f t="shared" ca="1" si="1"/>
        <v>6627</v>
      </c>
      <c r="G34" s="1">
        <f t="shared" ca="1" si="2"/>
        <v>6518</v>
      </c>
      <c r="H34" s="1">
        <v>94</v>
      </c>
      <c r="I34" s="1">
        <v>15</v>
      </c>
      <c r="J34" s="13">
        <v>199.33333333333331</v>
      </c>
      <c r="K34" s="13">
        <f t="shared" ca="1" si="3"/>
        <v>543.16666666666663</v>
      </c>
      <c r="L34" s="1">
        <v>299</v>
      </c>
      <c r="M34" s="13">
        <f t="shared" ca="1" si="4"/>
        <v>244.16666666666663</v>
      </c>
      <c r="N34" s="13">
        <f>SUMIFS('Leave Tracker'!F:F,'Leave Tracker'!A:A,'Annual Leave Balance'!A34,'Leave Tracker'!C:C,"Annual Leave")</f>
        <v>59</v>
      </c>
      <c r="O34" s="13">
        <f t="shared" ca="1" si="5"/>
        <v>185.16666666666663</v>
      </c>
    </row>
    <row r="35" spans="1:15" hidden="1" x14ac:dyDescent="0.3">
      <c r="A35" s="1">
        <v>360</v>
      </c>
      <c r="B35" s="14" t="s">
        <v>91</v>
      </c>
      <c r="C35" s="14" t="s">
        <v>92</v>
      </c>
      <c r="D35" s="15">
        <v>39578</v>
      </c>
      <c r="E35" s="15">
        <f t="shared" ref="E35:E66" ca="1" si="6">TODAY()</f>
        <v>46195</v>
      </c>
      <c r="F35" s="1">
        <f t="shared" ca="1" si="1"/>
        <v>6617</v>
      </c>
      <c r="G35" s="1">
        <f t="shared" ca="1" si="2"/>
        <v>6605</v>
      </c>
      <c r="H35" s="1">
        <v>12</v>
      </c>
      <c r="I35" s="1">
        <v>0</v>
      </c>
      <c r="J35" s="13">
        <v>185.58333333333331</v>
      </c>
      <c r="K35" s="13">
        <f t="shared" ca="1" si="3"/>
        <v>550.41666666666663</v>
      </c>
      <c r="L35" s="1">
        <v>320</v>
      </c>
      <c r="M35" s="13">
        <f t="shared" ca="1" si="4"/>
        <v>230.41666666666663</v>
      </c>
      <c r="N35" s="13">
        <f>SUMIFS('Leave Tracker'!F:F,'Leave Tracker'!A:A,'Annual Leave Balance'!A35,'Leave Tracker'!C:C,"Annual Leave")</f>
        <v>20</v>
      </c>
      <c r="O35" s="13">
        <f t="shared" ca="1" si="5"/>
        <v>210.41666666666663</v>
      </c>
    </row>
    <row r="36" spans="1:15" hidden="1" x14ac:dyDescent="0.3">
      <c r="A36" s="1">
        <v>363</v>
      </c>
      <c r="B36" s="14" t="s">
        <v>93</v>
      </c>
      <c r="C36" s="14" t="s">
        <v>78</v>
      </c>
      <c r="D36" s="15">
        <v>39576</v>
      </c>
      <c r="E36" s="15">
        <f t="shared" ca="1" si="6"/>
        <v>46195</v>
      </c>
      <c r="F36" s="1">
        <f t="shared" ca="1" si="1"/>
        <v>6619</v>
      </c>
      <c r="G36" s="1">
        <f t="shared" ca="1" si="2"/>
        <v>6539</v>
      </c>
      <c r="H36" s="1">
        <v>64</v>
      </c>
      <c r="I36" s="1">
        <v>16</v>
      </c>
      <c r="J36" s="13">
        <v>169.08333333333331</v>
      </c>
      <c r="K36" s="13">
        <f t="shared" ca="1" si="3"/>
        <v>544.91666666666663</v>
      </c>
      <c r="L36" s="1">
        <v>331</v>
      </c>
      <c r="M36" s="13">
        <f t="shared" ca="1" si="4"/>
        <v>213.91666666666663</v>
      </c>
      <c r="N36" s="13">
        <f>SUMIFS('Leave Tracker'!F:F,'Leave Tracker'!A:A,'Annual Leave Balance'!A36,'Leave Tracker'!C:C,"Annual Leave")</f>
        <v>0</v>
      </c>
      <c r="O36" s="13">
        <f t="shared" ca="1" si="5"/>
        <v>213.91666666666663</v>
      </c>
    </row>
    <row r="37" spans="1:15" hidden="1" x14ac:dyDescent="0.3">
      <c r="A37" s="1">
        <v>367</v>
      </c>
      <c r="B37" s="14" t="s">
        <v>94</v>
      </c>
      <c r="C37" s="14" t="s">
        <v>95</v>
      </c>
      <c r="D37" s="15">
        <v>39599</v>
      </c>
      <c r="E37" s="15">
        <f t="shared" ca="1" si="6"/>
        <v>46195</v>
      </c>
      <c r="F37" s="1">
        <f t="shared" ca="1" si="1"/>
        <v>6596</v>
      </c>
      <c r="G37" s="1">
        <f t="shared" ca="1" si="2"/>
        <v>6480</v>
      </c>
      <c r="H37" s="1">
        <v>86</v>
      </c>
      <c r="I37" s="1">
        <v>30</v>
      </c>
      <c r="J37" s="13">
        <v>122.16666666666669</v>
      </c>
      <c r="K37" s="13">
        <f t="shared" ca="1" si="3"/>
        <v>540</v>
      </c>
      <c r="L37" s="1">
        <v>373</v>
      </c>
      <c r="M37" s="13">
        <f t="shared" ca="1" si="4"/>
        <v>167</v>
      </c>
      <c r="N37" s="13">
        <f>SUMIFS('Leave Tracker'!F:F,'Leave Tracker'!A:A,'Annual Leave Balance'!A37,'Leave Tracker'!C:C,"Annual Leave")</f>
        <v>0</v>
      </c>
      <c r="O37" s="13">
        <f t="shared" ca="1" si="5"/>
        <v>167</v>
      </c>
    </row>
    <row r="38" spans="1:15" hidden="1" x14ac:dyDescent="0.3">
      <c r="A38" s="1">
        <v>379</v>
      </c>
      <c r="B38" s="14" t="s">
        <v>96</v>
      </c>
      <c r="C38" s="14" t="s">
        <v>97</v>
      </c>
      <c r="D38" s="15">
        <v>39641</v>
      </c>
      <c r="E38" s="15">
        <f t="shared" ca="1" si="6"/>
        <v>46195</v>
      </c>
      <c r="F38" s="1">
        <f t="shared" ca="1" si="1"/>
        <v>6554</v>
      </c>
      <c r="G38" s="1">
        <f t="shared" ca="1" si="2"/>
        <v>6156</v>
      </c>
      <c r="H38" s="1">
        <v>398</v>
      </c>
      <c r="I38" s="1">
        <v>0</v>
      </c>
      <c r="J38" s="13">
        <v>136.16666666666669</v>
      </c>
      <c r="K38" s="13">
        <f t="shared" ca="1" si="3"/>
        <v>513</v>
      </c>
      <c r="L38" s="1">
        <v>332</v>
      </c>
      <c r="M38" s="13">
        <f t="shared" ca="1" si="4"/>
        <v>181</v>
      </c>
      <c r="N38" s="13">
        <f>SUMIFS('Leave Tracker'!F:F,'Leave Tracker'!A:A,'Annual Leave Balance'!A38,'Leave Tracker'!C:C,"Annual Leave")</f>
        <v>30</v>
      </c>
      <c r="O38" s="13">
        <f t="shared" ca="1" si="5"/>
        <v>151</v>
      </c>
    </row>
    <row r="39" spans="1:15" hidden="1" x14ac:dyDescent="0.3">
      <c r="A39" s="1">
        <v>389</v>
      </c>
      <c r="B39" s="14" t="s">
        <v>98</v>
      </c>
      <c r="C39" s="14" t="s">
        <v>99</v>
      </c>
      <c r="D39" s="15">
        <v>39654</v>
      </c>
      <c r="E39" s="15">
        <f t="shared" ca="1" si="6"/>
        <v>46195</v>
      </c>
      <c r="F39" s="1">
        <f t="shared" ca="1" si="1"/>
        <v>6541</v>
      </c>
      <c r="G39" s="1">
        <f t="shared" ca="1" si="2"/>
        <v>6410</v>
      </c>
      <c r="H39" s="1">
        <v>131</v>
      </c>
      <c r="I39" s="1">
        <v>0</v>
      </c>
      <c r="J39" s="13">
        <v>55.333333333333314</v>
      </c>
      <c r="K39" s="13">
        <f t="shared" ca="1" si="3"/>
        <v>534.16666666666674</v>
      </c>
      <c r="L39" s="1">
        <v>434</v>
      </c>
      <c r="M39" s="13">
        <f t="shared" ca="1" si="4"/>
        <v>100.16666666666674</v>
      </c>
      <c r="N39" s="13">
        <f>SUMIFS('Leave Tracker'!F:F,'Leave Tracker'!A:A,'Annual Leave Balance'!A39,'Leave Tracker'!C:C,"Annual Leave")</f>
        <v>0</v>
      </c>
      <c r="O39" s="13">
        <f t="shared" ca="1" si="5"/>
        <v>100.16666666666674</v>
      </c>
    </row>
    <row r="40" spans="1:15" hidden="1" x14ac:dyDescent="0.3">
      <c r="A40" s="1">
        <v>394</v>
      </c>
      <c r="B40" s="14" t="s">
        <v>100</v>
      </c>
      <c r="C40" s="14" t="s">
        <v>95</v>
      </c>
      <c r="D40" s="15">
        <v>39649</v>
      </c>
      <c r="E40" s="15">
        <f t="shared" ca="1" si="6"/>
        <v>46195</v>
      </c>
      <c r="F40" s="1">
        <f t="shared" ca="1" si="1"/>
        <v>6546</v>
      </c>
      <c r="G40" s="1">
        <f t="shared" ca="1" si="2"/>
        <v>6348</v>
      </c>
      <c r="H40" s="1">
        <v>168</v>
      </c>
      <c r="I40" s="1">
        <v>30</v>
      </c>
      <c r="J40" s="13">
        <v>123.16666666666669</v>
      </c>
      <c r="K40" s="13">
        <f t="shared" ca="1" si="3"/>
        <v>529</v>
      </c>
      <c r="L40" s="1">
        <v>361</v>
      </c>
      <c r="M40" s="13">
        <f t="shared" ca="1" si="4"/>
        <v>168</v>
      </c>
      <c r="N40" s="13">
        <f>SUMIFS('Leave Tracker'!F:F,'Leave Tracker'!A:A,'Annual Leave Balance'!A40,'Leave Tracker'!C:C,"Annual Leave")</f>
        <v>62</v>
      </c>
      <c r="O40" s="13">
        <f t="shared" ca="1" si="5"/>
        <v>106</v>
      </c>
    </row>
    <row r="41" spans="1:15" hidden="1" x14ac:dyDescent="0.3">
      <c r="A41" s="1">
        <v>399</v>
      </c>
      <c r="B41" s="14" t="s">
        <v>101</v>
      </c>
      <c r="C41" s="14" t="s">
        <v>70</v>
      </c>
      <c r="D41" s="15">
        <v>39659</v>
      </c>
      <c r="E41" s="15">
        <f t="shared" ca="1" si="6"/>
        <v>46195</v>
      </c>
      <c r="F41" s="1">
        <f t="shared" ca="1" si="1"/>
        <v>6536</v>
      </c>
      <c r="G41" s="1">
        <f t="shared" ca="1" si="2"/>
        <v>6403</v>
      </c>
      <c r="H41" s="1">
        <v>115</v>
      </c>
      <c r="I41" s="1">
        <v>18</v>
      </c>
      <c r="J41" s="13">
        <v>187.75000000000006</v>
      </c>
      <c r="K41" s="13">
        <f t="shared" ca="1" si="3"/>
        <v>533.58333333333337</v>
      </c>
      <c r="L41" s="1">
        <v>301</v>
      </c>
      <c r="M41" s="13">
        <f t="shared" ca="1" si="4"/>
        <v>232.58333333333337</v>
      </c>
      <c r="N41" s="13">
        <f>SUMIFS('Leave Tracker'!F:F,'Leave Tracker'!A:A,'Annual Leave Balance'!A41,'Leave Tracker'!C:C,"Annual Leave")</f>
        <v>67</v>
      </c>
      <c r="O41" s="13">
        <f t="shared" ca="1" si="5"/>
        <v>165.58333333333337</v>
      </c>
    </row>
    <row r="42" spans="1:15" hidden="1" x14ac:dyDescent="0.3">
      <c r="A42" s="1">
        <v>434</v>
      </c>
      <c r="B42" s="14" t="s">
        <v>102</v>
      </c>
      <c r="C42" s="14" t="s">
        <v>72</v>
      </c>
      <c r="D42" s="15">
        <v>39742</v>
      </c>
      <c r="E42" s="15">
        <f t="shared" ca="1" si="6"/>
        <v>46195</v>
      </c>
      <c r="F42" s="1">
        <f t="shared" ca="1" si="1"/>
        <v>6453</v>
      </c>
      <c r="G42" s="1">
        <f t="shared" ca="1" si="2"/>
        <v>6439</v>
      </c>
      <c r="H42" s="1">
        <v>14</v>
      </c>
      <c r="I42" s="1">
        <v>0</v>
      </c>
      <c r="J42" s="13">
        <v>100.75</v>
      </c>
      <c r="K42" s="13">
        <f t="shared" ca="1" si="3"/>
        <v>536.58333333333337</v>
      </c>
      <c r="L42" s="1">
        <v>391</v>
      </c>
      <c r="M42" s="13">
        <f t="shared" ca="1" si="4"/>
        <v>145.58333333333337</v>
      </c>
      <c r="N42" s="13">
        <f>SUMIFS('Leave Tracker'!F:F,'Leave Tracker'!A:A,'Annual Leave Balance'!A42,'Leave Tracker'!C:C,"Annual Leave")</f>
        <v>0</v>
      </c>
      <c r="O42" s="13">
        <f t="shared" ca="1" si="5"/>
        <v>145.58333333333337</v>
      </c>
    </row>
    <row r="43" spans="1:15" hidden="1" x14ac:dyDescent="0.3">
      <c r="A43" s="1">
        <v>439</v>
      </c>
      <c r="B43" s="14" t="s">
        <v>103</v>
      </c>
      <c r="C43" s="14" t="s">
        <v>104</v>
      </c>
      <c r="D43" s="15">
        <v>39746</v>
      </c>
      <c r="E43" s="15">
        <f t="shared" ca="1" si="6"/>
        <v>46195</v>
      </c>
      <c r="F43" s="1">
        <f t="shared" ca="1" si="1"/>
        <v>6449</v>
      </c>
      <c r="G43" s="1">
        <f t="shared" ca="1" si="2"/>
        <v>6381</v>
      </c>
      <c r="H43" s="1">
        <v>10</v>
      </c>
      <c r="I43" s="1">
        <v>58</v>
      </c>
      <c r="J43" s="13">
        <v>143.91666666666663</v>
      </c>
      <c r="K43" s="13">
        <f t="shared" ca="1" si="3"/>
        <v>531.75</v>
      </c>
      <c r="L43" s="1">
        <v>343</v>
      </c>
      <c r="M43" s="13">
        <f t="shared" ca="1" si="4"/>
        <v>188.75</v>
      </c>
      <c r="N43" s="13">
        <f>SUMIFS('Leave Tracker'!F:F,'Leave Tracker'!A:A,'Annual Leave Balance'!A43,'Leave Tracker'!C:C,"Annual Leave")</f>
        <v>15</v>
      </c>
      <c r="O43" s="13">
        <f t="shared" ca="1" si="5"/>
        <v>173.75</v>
      </c>
    </row>
    <row r="44" spans="1:15" hidden="1" x14ac:dyDescent="0.3">
      <c r="A44" s="1">
        <v>453</v>
      </c>
      <c r="B44" s="14" t="s">
        <v>105</v>
      </c>
      <c r="C44" s="14" t="s">
        <v>106</v>
      </c>
      <c r="D44" s="15">
        <v>44378</v>
      </c>
      <c r="E44" s="15">
        <f t="shared" ca="1" si="6"/>
        <v>46195</v>
      </c>
      <c r="F44" s="1">
        <f t="shared" ca="1" si="1"/>
        <v>1817</v>
      </c>
      <c r="G44" s="1">
        <f t="shared" ca="1" si="2"/>
        <v>1819</v>
      </c>
      <c r="H44" s="1">
        <v>-2</v>
      </c>
      <c r="I44" s="1">
        <v>0</v>
      </c>
      <c r="J44" s="13">
        <v>-53.25</v>
      </c>
      <c r="K44" s="13">
        <f t="shared" ca="1" si="3"/>
        <v>151.58333333333334</v>
      </c>
      <c r="L44" s="1">
        <v>160</v>
      </c>
      <c r="M44" s="13">
        <f t="shared" ca="1" si="4"/>
        <v>-8.4166666666666572</v>
      </c>
      <c r="N44" s="13">
        <f>SUMIFS('Leave Tracker'!F:F,'Leave Tracker'!A:A,'Annual Leave Balance'!A44,'Leave Tracker'!C:C,"Annual Leave")</f>
        <v>0</v>
      </c>
      <c r="O44" s="13">
        <f t="shared" ca="1" si="5"/>
        <v>-8.4166666666666572</v>
      </c>
    </row>
    <row r="45" spans="1:15" hidden="1" x14ac:dyDescent="0.3">
      <c r="A45" s="1">
        <v>459</v>
      </c>
      <c r="B45" s="14" t="s">
        <v>107</v>
      </c>
      <c r="C45" s="14" t="s">
        <v>108</v>
      </c>
      <c r="D45" s="15">
        <v>39828</v>
      </c>
      <c r="E45" s="15">
        <f t="shared" ca="1" si="6"/>
        <v>46195</v>
      </c>
      <c r="F45" s="1">
        <f t="shared" ca="1" si="1"/>
        <v>6367</v>
      </c>
      <c r="G45" s="1">
        <f t="shared" ca="1" si="2"/>
        <v>6329</v>
      </c>
      <c r="H45" s="1">
        <v>24</v>
      </c>
      <c r="I45" s="1">
        <v>14</v>
      </c>
      <c r="J45" s="13">
        <v>19.583333333333371</v>
      </c>
      <c r="K45" s="13">
        <f t="shared" ca="1" si="3"/>
        <v>527.41666666666663</v>
      </c>
      <c r="L45" s="1">
        <v>463</v>
      </c>
      <c r="M45" s="13">
        <f t="shared" ca="1" si="4"/>
        <v>64.416666666666629</v>
      </c>
      <c r="N45" s="13">
        <f>SUMIFS('Leave Tracker'!F:F,'Leave Tracker'!A:A,'Annual Leave Balance'!A45,'Leave Tracker'!C:C,"Annual Leave")</f>
        <v>62</v>
      </c>
      <c r="O45" s="13">
        <f t="shared" ca="1" si="5"/>
        <v>2.4166666666666288</v>
      </c>
    </row>
    <row r="46" spans="1:15" hidden="1" x14ac:dyDescent="0.3">
      <c r="A46" s="1">
        <v>483</v>
      </c>
      <c r="B46" s="14" t="s">
        <v>109</v>
      </c>
      <c r="C46" s="14" t="s">
        <v>108</v>
      </c>
      <c r="D46" s="15">
        <v>39859</v>
      </c>
      <c r="E46" s="15">
        <f t="shared" ca="1" si="6"/>
        <v>46195</v>
      </c>
      <c r="F46" s="1">
        <f t="shared" ca="1" si="1"/>
        <v>6336</v>
      </c>
      <c r="G46" s="1">
        <f t="shared" ca="1" si="2"/>
        <v>6300</v>
      </c>
      <c r="H46" s="1">
        <v>36</v>
      </c>
      <c r="I46" s="1">
        <v>0</v>
      </c>
      <c r="J46" s="13">
        <v>109.16666666666669</v>
      </c>
      <c r="K46" s="13">
        <f t="shared" ca="1" si="3"/>
        <v>525</v>
      </c>
      <c r="L46" s="1">
        <v>371</v>
      </c>
      <c r="M46" s="13">
        <f t="shared" ca="1" si="4"/>
        <v>154</v>
      </c>
      <c r="N46" s="13">
        <f>SUMIFS('Leave Tracker'!F:F,'Leave Tracker'!A:A,'Annual Leave Balance'!A46,'Leave Tracker'!C:C,"Annual Leave")</f>
        <v>0</v>
      </c>
      <c r="O46" s="13">
        <f t="shared" ca="1" si="5"/>
        <v>154</v>
      </c>
    </row>
    <row r="47" spans="1:15" hidden="1" x14ac:dyDescent="0.3">
      <c r="A47" s="1">
        <v>565</v>
      </c>
      <c r="B47" s="14" t="s">
        <v>110</v>
      </c>
      <c r="C47" s="14" t="s">
        <v>111</v>
      </c>
      <c r="D47" s="15">
        <v>40113</v>
      </c>
      <c r="E47" s="15">
        <f t="shared" ca="1" si="6"/>
        <v>46195</v>
      </c>
      <c r="F47" s="1">
        <f t="shared" ca="1" si="1"/>
        <v>6082</v>
      </c>
      <c r="G47" s="1">
        <f t="shared" ca="1" si="2"/>
        <v>5860</v>
      </c>
      <c r="H47" s="1">
        <v>222</v>
      </c>
      <c r="I47" s="1">
        <v>0</v>
      </c>
      <c r="J47" s="13">
        <v>201.5</v>
      </c>
      <c r="K47" s="13">
        <f t="shared" ca="1" si="3"/>
        <v>488.33333333333337</v>
      </c>
      <c r="L47" s="1">
        <v>242</v>
      </c>
      <c r="M47" s="13">
        <f t="shared" ca="1" si="4"/>
        <v>246.33333333333337</v>
      </c>
      <c r="N47" s="13">
        <f>SUMIFS('Leave Tracker'!F:F,'Leave Tracker'!A:A,'Annual Leave Balance'!A47,'Leave Tracker'!C:C,"Annual Leave")</f>
        <v>60</v>
      </c>
      <c r="O47" s="13">
        <f t="shared" ca="1" si="5"/>
        <v>186.33333333333337</v>
      </c>
    </row>
    <row r="48" spans="1:15" hidden="1" x14ac:dyDescent="0.3">
      <c r="A48" s="1">
        <v>571</v>
      </c>
      <c r="B48" s="14" t="s">
        <v>112</v>
      </c>
      <c r="C48" s="14" t="s">
        <v>113</v>
      </c>
      <c r="D48" s="15">
        <v>40113</v>
      </c>
      <c r="E48" s="15">
        <f t="shared" ca="1" si="6"/>
        <v>46195</v>
      </c>
      <c r="F48" s="1">
        <f t="shared" ca="1" si="1"/>
        <v>6082</v>
      </c>
      <c r="G48" s="1">
        <f t="shared" ca="1" si="2"/>
        <v>5898</v>
      </c>
      <c r="H48" s="1">
        <v>184</v>
      </c>
      <c r="I48" s="1">
        <v>0</v>
      </c>
      <c r="J48" s="13">
        <v>144.66666666666669</v>
      </c>
      <c r="K48" s="13">
        <f t="shared" ca="1" si="3"/>
        <v>491.5</v>
      </c>
      <c r="L48" s="1">
        <v>302</v>
      </c>
      <c r="M48" s="13">
        <f t="shared" ca="1" si="4"/>
        <v>189.5</v>
      </c>
      <c r="N48" s="13">
        <f>SUMIFS('Leave Tracker'!F:F,'Leave Tracker'!A:A,'Annual Leave Balance'!A48,'Leave Tracker'!C:C,"Annual Leave")</f>
        <v>60</v>
      </c>
      <c r="O48" s="13">
        <f t="shared" ca="1" si="5"/>
        <v>129.5</v>
      </c>
    </row>
    <row r="49" spans="1:15" hidden="1" x14ac:dyDescent="0.3">
      <c r="A49" s="1">
        <v>572</v>
      </c>
      <c r="B49" s="14" t="s">
        <v>114</v>
      </c>
      <c r="C49" s="14" t="s">
        <v>115</v>
      </c>
      <c r="D49" s="15">
        <v>40113</v>
      </c>
      <c r="E49" s="15">
        <f t="shared" ca="1" si="6"/>
        <v>46195</v>
      </c>
      <c r="F49" s="1">
        <f t="shared" ca="1" si="1"/>
        <v>6082</v>
      </c>
      <c r="G49" s="1">
        <f t="shared" ca="1" si="2"/>
        <v>6052</v>
      </c>
      <c r="H49" s="1">
        <v>30</v>
      </c>
      <c r="I49" s="1">
        <v>0</v>
      </c>
      <c r="J49" s="13">
        <v>96.5</v>
      </c>
      <c r="K49" s="13">
        <f t="shared" ca="1" si="3"/>
        <v>504.33333333333331</v>
      </c>
      <c r="L49" s="1">
        <v>363</v>
      </c>
      <c r="M49" s="13">
        <f t="shared" ca="1" si="4"/>
        <v>141.33333333333331</v>
      </c>
      <c r="N49" s="13">
        <f>SUMIFS('Leave Tracker'!F:F,'Leave Tracker'!A:A,'Annual Leave Balance'!A49,'Leave Tracker'!C:C,"Annual Leave")</f>
        <v>0</v>
      </c>
      <c r="O49" s="13">
        <f t="shared" ca="1" si="5"/>
        <v>141.33333333333331</v>
      </c>
    </row>
    <row r="50" spans="1:15" hidden="1" x14ac:dyDescent="0.3">
      <c r="A50" s="1">
        <v>580</v>
      </c>
      <c r="B50" s="14" t="s">
        <v>116</v>
      </c>
      <c r="C50" s="14" t="s">
        <v>68</v>
      </c>
      <c r="D50" s="15">
        <v>40113</v>
      </c>
      <c r="E50" s="15">
        <f t="shared" ca="1" si="6"/>
        <v>46195</v>
      </c>
      <c r="F50" s="1">
        <f t="shared" ca="1" si="1"/>
        <v>6082</v>
      </c>
      <c r="G50" s="1">
        <f t="shared" ca="1" si="2"/>
        <v>5969</v>
      </c>
      <c r="H50" s="1">
        <v>113</v>
      </c>
      <c r="I50" s="1">
        <v>0</v>
      </c>
      <c r="J50" s="13">
        <v>131.58333333333331</v>
      </c>
      <c r="K50" s="13">
        <f t="shared" ca="1" si="3"/>
        <v>497.41666666666669</v>
      </c>
      <c r="L50" s="1">
        <v>321</v>
      </c>
      <c r="M50" s="13">
        <f t="shared" ca="1" si="4"/>
        <v>176.41666666666669</v>
      </c>
      <c r="N50" s="13">
        <f>SUMIFS('Leave Tracker'!F:F,'Leave Tracker'!A:A,'Annual Leave Balance'!A50,'Leave Tracker'!C:C,"Annual Leave")</f>
        <v>0</v>
      </c>
      <c r="O50" s="13">
        <f t="shared" ca="1" si="5"/>
        <v>176.41666666666669</v>
      </c>
    </row>
    <row r="51" spans="1:15" hidden="1" x14ac:dyDescent="0.3">
      <c r="A51" s="1">
        <v>583</v>
      </c>
      <c r="B51" s="14" t="s">
        <v>117</v>
      </c>
      <c r="C51" s="14" t="s">
        <v>118</v>
      </c>
      <c r="D51" s="15">
        <v>40124</v>
      </c>
      <c r="E51" s="15">
        <f t="shared" ca="1" si="6"/>
        <v>46195</v>
      </c>
      <c r="F51" s="1">
        <f t="shared" ca="1" si="1"/>
        <v>6071</v>
      </c>
      <c r="G51" s="1">
        <f t="shared" ca="1" si="2"/>
        <v>5940</v>
      </c>
      <c r="H51" s="1">
        <v>131</v>
      </c>
      <c r="I51" s="1">
        <v>0</v>
      </c>
      <c r="J51" s="13">
        <v>148.16666666666669</v>
      </c>
      <c r="K51" s="13">
        <f t="shared" ca="1" si="3"/>
        <v>495</v>
      </c>
      <c r="L51" s="1">
        <v>302</v>
      </c>
      <c r="M51" s="13">
        <f t="shared" ca="1" si="4"/>
        <v>193</v>
      </c>
      <c r="N51" s="13">
        <f>SUMIFS('Leave Tracker'!F:F,'Leave Tracker'!A:A,'Annual Leave Balance'!A51,'Leave Tracker'!C:C,"Annual Leave")</f>
        <v>60</v>
      </c>
      <c r="O51" s="13">
        <f t="shared" ca="1" si="5"/>
        <v>133</v>
      </c>
    </row>
    <row r="52" spans="1:15" hidden="1" x14ac:dyDescent="0.3">
      <c r="A52" s="1">
        <v>597</v>
      </c>
      <c r="B52" s="14" t="s">
        <v>119</v>
      </c>
      <c r="C52" s="14" t="s">
        <v>120</v>
      </c>
      <c r="D52" s="15">
        <v>40140</v>
      </c>
      <c r="E52" s="15">
        <f t="shared" ca="1" si="6"/>
        <v>46195</v>
      </c>
      <c r="F52" s="1">
        <f t="shared" ca="1" si="1"/>
        <v>6055</v>
      </c>
      <c r="G52" s="1">
        <f t="shared" ca="1" si="2"/>
        <v>5828</v>
      </c>
      <c r="H52" s="1">
        <v>227</v>
      </c>
      <c r="I52" s="1">
        <v>0</v>
      </c>
      <c r="J52" s="13">
        <v>141.83333333333331</v>
      </c>
      <c r="K52" s="13">
        <f t="shared" ca="1" si="3"/>
        <v>485.66666666666669</v>
      </c>
      <c r="L52" s="1">
        <v>299</v>
      </c>
      <c r="M52" s="13">
        <f t="shared" ca="1" si="4"/>
        <v>186.66666666666669</v>
      </c>
      <c r="N52" s="13">
        <f>SUMIFS('Leave Tracker'!F:F,'Leave Tracker'!A:A,'Annual Leave Balance'!A52,'Leave Tracker'!C:C,"Annual Leave")</f>
        <v>0</v>
      </c>
      <c r="O52" s="13">
        <f t="shared" ca="1" si="5"/>
        <v>186.66666666666669</v>
      </c>
    </row>
    <row r="53" spans="1:15" hidden="1" x14ac:dyDescent="0.3">
      <c r="A53" s="1">
        <v>600</v>
      </c>
      <c r="B53" s="14" t="s">
        <v>121</v>
      </c>
      <c r="C53" s="14" t="s">
        <v>118</v>
      </c>
      <c r="D53" s="15">
        <v>40140</v>
      </c>
      <c r="E53" s="15">
        <f t="shared" ca="1" si="6"/>
        <v>46195</v>
      </c>
      <c r="F53" s="1">
        <f t="shared" ca="1" si="1"/>
        <v>6055</v>
      </c>
      <c r="G53" s="1">
        <f t="shared" ca="1" si="2"/>
        <v>5842</v>
      </c>
      <c r="H53" s="1">
        <v>213</v>
      </c>
      <c r="I53" s="1">
        <v>0</v>
      </c>
      <c r="J53" s="13">
        <v>140</v>
      </c>
      <c r="K53" s="13">
        <f t="shared" ca="1" si="3"/>
        <v>486.83333333333331</v>
      </c>
      <c r="L53" s="1">
        <v>302</v>
      </c>
      <c r="M53" s="13">
        <f t="shared" ca="1" si="4"/>
        <v>184.83333333333331</v>
      </c>
      <c r="N53" s="13">
        <f>SUMIFS('Leave Tracker'!F:F,'Leave Tracker'!A:A,'Annual Leave Balance'!A53,'Leave Tracker'!C:C,"Annual Leave")</f>
        <v>60</v>
      </c>
      <c r="O53" s="13">
        <f t="shared" ca="1" si="5"/>
        <v>124.83333333333331</v>
      </c>
    </row>
    <row r="54" spans="1:15" hidden="1" x14ac:dyDescent="0.3">
      <c r="A54" s="1">
        <v>602</v>
      </c>
      <c r="B54" s="14" t="s">
        <v>122</v>
      </c>
      <c r="C54" s="14" t="s">
        <v>54</v>
      </c>
      <c r="D54" s="15">
        <v>40140</v>
      </c>
      <c r="E54" s="15">
        <f t="shared" ca="1" si="6"/>
        <v>46195</v>
      </c>
      <c r="F54" s="1">
        <f t="shared" ca="1" si="1"/>
        <v>6055</v>
      </c>
      <c r="G54" s="1">
        <f t="shared" ca="1" si="2"/>
        <v>6020</v>
      </c>
      <c r="H54" s="1">
        <v>35</v>
      </c>
      <c r="I54" s="1">
        <v>0</v>
      </c>
      <c r="J54" s="13">
        <v>216.83333333333331</v>
      </c>
      <c r="K54" s="13">
        <f t="shared" ca="1" si="3"/>
        <v>501.66666666666663</v>
      </c>
      <c r="L54" s="1">
        <v>240</v>
      </c>
      <c r="M54" s="13">
        <f t="shared" ca="1" si="4"/>
        <v>261.66666666666663</v>
      </c>
      <c r="N54" s="13">
        <f>SUMIFS('Leave Tracker'!F:F,'Leave Tracker'!A:A,'Annual Leave Balance'!A54,'Leave Tracker'!C:C,"Annual Leave")</f>
        <v>0</v>
      </c>
      <c r="O54" s="13">
        <f t="shared" ca="1" si="5"/>
        <v>261.66666666666663</v>
      </c>
    </row>
    <row r="55" spans="1:15" hidden="1" x14ac:dyDescent="0.3">
      <c r="A55" s="1">
        <v>603</v>
      </c>
      <c r="B55" s="14" t="s">
        <v>123</v>
      </c>
      <c r="C55" s="14" t="s">
        <v>58</v>
      </c>
      <c r="D55" s="15">
        <v>40140</v>
      </c>
      <c r="E55" s="15">
        <f t="shared" ca="1" si="6"/>
        <v>46195</v>
      </c>
      <c r="F55" s="1">
        <f t="shared" ca="1" si="1"/>
        <v>6055</v>
      </c>
      <c r="G55" s="1">
        <f t="shared" ca="1" si="2"/>
        <v>5854</v>
      </c>
      <c r="H55" s="1">
        <v>201</v>
      </c>
      <c r="I55" s="1">
        <v>0</v>
      </c>
      <c r="J55" s="13">
        <v>140</v>
      </c>
      <c r="K55" s="13">
        <f t="shared" ca="1" si="3"/>
        <v>487.83333333333337</v>
      </c>
      <c r="L55" s="1">
        <v>303</v>
      </c>
      <c r="M55" s="13">
        <f t="shared" ca="1" si="4"/>
        <v>184.83333333333337</v>
      </c>
      <c r="N55" s="13">
        <f>SUMIFS('Leave Tracker'!F:F,'Leave Tracker'!A:A,'Annual Leave Balance'!A55,'Leave Tracker'!C:C,"Annual Leave")</f>
        <v>66</v>
      </c>
      <c r="O55" s="13">
        <f t="shared" ca="1" si="5"/>
        <v>118.83333333333337</v>
      </c>
    </row>
    <row r="56" spans="1:15" hidden="1" x14ac:dyDescent="0.3">
      <c r="A56" s="1">
        <v>629</v>
      </c>
      <c r="B56" s="47" t="s">
        <v>124</v>
      </c>
      <c r="C56" s="14" t="s">
        <v>125</v>
      </c>
      <c r="D56" s="15">
        <v>40223</v>
      </c>
      <c r="E56" s="15">
        <v>46022</v>
      </c>
      <c r="F56" s="1">
        <f t="shared" si="1"/>
        <v>5799</v>
      </c>
      <c r="G56" s="1">
        <f t="shared" si="2"/>
        <v>5677</v>
      </c>
      <c r="H56" s="1">
        <v>108</v>
      </c>
      <c r="I56" s="1">
        <v>14</v>
      </c>
      <c r="J56" s="13">
        <v>40.666666666666686</v>
      </c>
      <c r="K56" s="13">
        <f t="shared" si="3"/>
        <v>473.08333333333331</v>
      </c>
      <c r="L56" s="1">
        <v>402</v>
      </c>
      <c r="M56" s="13">
        <f t="shared" si="4"/>
        <v>71.083333333333314</v>
      </c>
      <c r="N56" s="13">
        <f>SUMIFS('Leave Tracker'!F:F,'Leave Tracker'!A:A,'Annual Leave Balance'!A56,'Leave Tracker'!C:C,"Annual Leave")</f>
        <v>0</v>
      </c>
      <c r="O56" s="13">
        <f t="shared" si="5"/>
        <v>71.083333333333314</v>
      </c>
    </row>
    <row r="57" spans="1:15" hidden="1" x14ac:dyDescent="0.3">
      <c r="A57" s="1">
        <v>630</v>
      </c>
      <c r="B57" s="14" t="s">
        <v>126</v>
      </c>
      <c r="C57" s="14" t="s">
        <v>127</v>
      </c>
      <c r="D57" s="15">
        <v>40171</v>
      </c>
      <c r="E57" s="15">
        <f t="shared" ca="1" si="6"/>
        <v>46195</v>
      </c>
      <c r="F57" s="1">
        <f t="shared" ca="1" si="1"/>
        <v>6024</v>
      </c>
      <c r="G57" s="1">
        <f t="shared" ca="1" si="2"/>
        <v>6021</v>
      </c>
      <c r="H57" s="1">
        <v>3</v>
      </c>
      <c r="I57" s="1">
        <v>0</v>
      </c>
      <c r="J57" s="13">
        <v>89.916666666666686</v>
      </c>
      <c r="K57" s="13">
        <f t="shared" ca="1" si="3"/>
        <v>501.75000000000006</v>
      </c>
      <c r="L57" s="1">
        <v>367</v>
      </c>
      <c r="M57" s="13">
        <f t="shared" ca="1" si="4"/>
        <v>134.75000000000006</v>
      </c>
      <c r="N57" s="13">
        <f>SUMIFS('Leave Tracker'!F:F,'Leave Tracker'!A:A,'Annual Leave Balance'!A57,'Leave Tracker'!C:C,"Annual Leave")</f>
        <v>60</v>
      </c>
      <c r="O57" s="13">
        <f t="shared" ca="1" si="5"/>
        <v>74.750000000000057</v>
      </c>
    </row>
    <row r="58" spans="1:15" hidden="1" x14ac:dyDescent="0.3">
      <c r="A58" s="1">
        <v>659</v>
      </c>
      <c r="B58" s="14" t="s">
        <v>128</v>
      </c>
      <c r="C58" s="14" t="s">
        <v>129</v>
      </c>
      <c r="D58" s="15">
        <v>40398</v>
      </c>
      <c r="E58" s="15">
        <f t="shared" ca="1" si="6"/>
        <v>46195</v>
      </c>
      <c r="F58" s="1">
        <f t="shared" ca="1" si="1"/>
        <v>5797</v>
      </c>
      <c r="G58" s="1">
        <f t="shared" ca="1" si="2"/>
        <v>5663</v>
      </c>
      <c r="H58" s="1">
        <v>134</v>
      </c>
      <c r="I58" s="1">
        <v>0</v>
      </c>
      <c r="J58" s="13">
        <v>125.08333333333331</v>
      </c>
      <c r="K58" s="13">
        <f t="shared" ca="1" si="3"/>
        <v>471.91666666666669</v>
      </c>
      <c r="L58" s="1">
        <v>302</v>
      </c>
      <c r="M58" s="13">
        <f t="shared" ca="1" si="4"/>
        <v>169.91666666666669</v>
      </c>
      <c r="N58" s="13">
        <f>SUMIFS('Leave Tracker'!F:F,'Leave Tracker'!A:A,'Annual Leave Balance'!A58,'Leave Tracker'!C:C,"Annual Leave")</f>
        <v>60</v>
      </c>
      <c r="O58" s="13">
        <f t="shared" ca="1" si="5"/>
        <v>109.91666666666669</v>
      </c>
    </row>
    <row r="59" spans="1:15" hidden="1" x14ac:dyDescent="0.3">
      <c r="A59" s="1">
        <v>670</v>
      </c>
      <c r="B59" s="14" t="s">
        <v>130</v>
      </c>
      <c r="C59" s="14" t="s">
        <v>131</v>
      </c>
      <c r="D59" s="15">
        <v>40408</v>
      </c>
      <c r="E59" s="15">
        <f t="shared" ca="1" si="6"/>
        <v>46195</v>
      </c>
      <c r="F59" s="1">
        <f t="shared" ca="1" si="1"/>
        <v>5787</v>
      </c>
      <c r="G59" s="1">
        <f t="shared" ca="1" si="2"/>
        <v>5411</v>
      </c>
      <c r="H59" s="1">
        <v>376</v>
      </c>
      <c r="I59" s="1">
        <v>0</v>
      </c>
      <c r="J59" s="13">
        <v>160.08333333333337</v>
      </c>
      <c r="K59" s="13">
        <f t="shared" ca="1" si="3"/>
        <v>450.91666666666663</v>
      </c>
      <c r="L59" s="1">
        <v>246</v>
      </c>
      <c r="M59" s="13">
        <f t="shared" ca="1" si="4"/>
        <v>204.91666666666663</v>
      </c>
      <c r="N59" s="13">
        <f>SUMIFS('Leave Tracker'!F:F,'Leave Tracker'!A:A,'Annual Leave Balance'!A59,'Leave Tracker'!C:C,"Annual Leave")</f>
        <v>0</v>
      </c>
      <c r="O59" s="13">
        <f t="shared" ca="1" si="5"/>
        <v>204.91666666666663</v>
      </c>
    </row>
    <row r="60" spans="1:15" hidden="1" x14ac:dyDescent="0.3">
      <c r="A60" s="1">
        <v>791</v>
      </c>
      <c r="B60" s="14" t="s">
        <v>132</v>
      </c>
      <c r="C60" s="14" t="s">
        <v>99</v>
      </c>
      <c r="D60" s="15">
        <v>40675</v>
      </c>
      <c r="E60" s="15">
        <f t="shared" ca="1" si="6"/>
        <v>46195</v>
      </c>
      <c r="F60" s="1">
        <f t="shared" ca="1" si="1"/>
        <v>5520</v>
      </c>
      <c r="G60" s="1">
        <f t="shared" ca="1" si="2"/>
        <v>5471</v>
      </c>
      <c r="H60" s="1">
        <v>42</v>
      </c>
      <c r="I60" s="1">
        <v>7</v>
      </c>
      <c r="J60" s="13">
        <v>12.083333333333314</v>
      </c>
      <c r="K60" s="13">
        <f t="shared" ca="1" si="3"/>
        <v>455.91666666666669</v>
      </c>
      <c r="L60" s="1">
        <v>399</v>
      </c>
      <c r="M60" s="13">
        <f t="shared" ca="1" si="4"/>
        <v>56.916666666666686</v>
      </c>
      <c r="N60" s="13">
        <f>SUMIFS('Leave Tracker'!F:F,'Leave Tracker'!A:A,'Annual Leave Balance'!A60,'Leave Tracker'!C:C,"Annual Leave")</f>
        <v>0</v>
      </c>
      <c r="O60" s="13">
        <f t="shared" ca="1" si="5"/>
        <v>56.916666666666686</v>
      </c>
    </row>
    <row r="61" spans="1:15" hidden="1" x14ac:dyDescent="0.3">
      <c r="A61" s="1">
        <v>801</v>
      </c>
      <c r="B61" s="47" t="s">
        <v>133</v>
      </c>
      <c r="C61" s="14" t="s">
        <v>134</v>
      </c>
      <c r="D61" s="15">
        <v>40664</v>
      </c>
      <c r="E61" s="15">
        <v>46022</v>
      </c>
      <c r="F61" s="1">
        <f t="shared" si="1"/>
        <v>5358</v>
      </c>
      <c r="G61" s="1">
        <f t="shared" si="2"/>
        <v>5139</v>
      </c>
      <c r="H61" s="1">
        <v>198</v>
      </c>
      <c r="I61" s="1">
        <v>21</v>
      </c>
      <c r="J61" s="13">
        <v>-15.166666666666686</v>
      </c>
      <c r="K61" s="13">
        <f t="shared" si="3"/>
        <v>428.25</v>
      </c>
      <c r="L61" s="1">
        <v>413</v>
      </c>
      <c r="M61" s="13">
        <f t="shared" si="4"/>
        <v>15.25</v>
      </c>
      <c r="N61" s="13">
        <f>SUMIFS('Leave Tracker'!F:F,'Leave Tracker'!A:A,'Annual Leave Balance'!A61,'Leave Tracker'!C:C,"Annual Leave")</f>
        <v>0</v>
      </c>
      <c r="O61" s="13">
        <f t="shared" si="5"/>
        <v>15.25</v>
      </c>
    </row>
    <row r="62" spans="1:15" hidden="1" x14ac:dyDescent="0.3">
      <c r="A62" s="1">
        <v>802</v>
      </c>
      <c r="B62" s="14" t="s">
        <v>135</v>
      </c>
      <c r="C62" s="14" t="s">
        <v>136</v>
      </c>
      <c r="D62" s="15">
        <v>40642</v>
      </c>
      <c r="E62" s="15">
        <f t="shared" ca="1" si="6"/>
        <v>46195</v>
      </c>
      <c r="F62" s="1">
        <f t="shared" ca="1" si="1"/>
        <v>5553</v>
      </c>
      <c r="G62" s="1">
        <f t="shared" ca="1" si="2"/>
        <v>5426</v>
      </c>
      <c r="H62" s="1">
        <v>93</v>
      </c>
      <c r="I62" s="1">
        <v>34</v>
      </c>
      <c r="J62" s="13">
        <v>32.333333333333314</v>
      </c>
      <c r="K62" s="13">
        <f t="shared" ca="1" si="3"/>
        <v>452.16666666666669</v>
      </c>
      <c r="L62" s="1">
        <v>375</v>
      </c>
      <c r="M62" s="13">
        <f t="shared" ca="1" si="4"/>
        <v>77.166666666666686</v>
      </c>
      <c r="N62" s="13">
        <f>SUMIFS('Leave Tracker'!F:F,'Leave Tracker'!A:A,'Annual Leave Balance'!A62,'Leave Tracker'!C:C,"Annual Leave")</f>
        <v>60</v>
      </c>
      <c r="O62" s="13">
        <f t="shared" ca="1" si="5"/>
        <v>17.166666666666686</v>
      </c>
    </row>
    <row r="63" spans="1:15" hidden="1" x14ac:dyDescent="0.3">
      <c r="A63" s="1">
        <v>835</v>
      </c>
      <c r="B63" s="14" t="s">
        <v>137</v>
      </c>
      <c r="C63" s="14" t="s">
        <v>138</v>
      </c>
      <c r="D63" s="15">
        <v>40696</v>
      </c>
      <c r="E63" s="15">
        <f t="shared" ca="1" si="6"/>
        <v>46195</v>
      </c>
      <c r="F63" s="1">
        <f t="shared" ca="1" si="1"/>
        <v>5499</v>
      </c>
      <c r="G63" s="1">
        <f t="shared" ca="1" si="2"/>
        <v>5497</v>
      </c>
      <c r="H63" s="1">
        <v>2</v>
      </c>
      <c r="I63" s="1">
        <v>0</v>
      </c>
      <c r="J63" s="13">
        <v>139.25</v>
      </c>
      <c r="K63" s="13">
        <f t="shared" ca="1" si="3"/>
        <v>458.08333333333331</v>
      </c>
      <c r="L63" s="1">
        <v>274</v>
      </c>
      <c r="M63" s="13">
        <f t="shared" ca="1" si="4"/>
        <v>184.08333333333331</v>
      </c>
      <c r="N63" s="13">
        <f>SUMIFS('Leave Tracker'!F:F,'Leave Tracker'!A:A,'Annual Leave Balance'!A63,'Leave Tracker'!C:C,"Annual Leave")</f>
        <v>37</v>
      </c>
      <c r="O63" s="13">
        <f t="shared" ca="1" si="5"/>
        <v>147.08333333333331</v>
      </c>
    </row>
    <row r="64" spans="1:15" hidden="1" x14ac:dyDescent="0.3">
      <c r="A64" s="1">
        <v>924</v>
      </c>
      <c r="B64" s="14" t="s">
        <v>139</v>
      </c>
      <c r="C64" s="14" t="s">
        <v>140</v>
      </c>
      <c r="D64" s="15">
        <v>41023</v>
      </c>
      <c r="E64" s="15">
        <f t="shared" ca="1" si="6"/>
        <v>46195</v>
      </c>
      <c r="F64" s="1">
        <f t="shared" ca="1" si="1"/>
        <v>5172</v>
      </c>
      <c r="G64" s="1">
        <f t="shared" ca="1" si="2"/>
        <v>4994</v>
      </c>
      <c r="H64" s="1">
        <v>175</v>
      </c>
      <c r="I64" s="1">
        <v>3</v>
      </c>
      <c r="J64" s="13">
        <v>66.333333333333371</v>
      </c>
      <c r="K64" s="13">
        <f t="shared" ca="1" si="3"/>
        <v>416.16666666666663</v>
      </c>
      <c r="L64" s="1">
        <v>305</v>
      </c>
      <c r="M64" s="13">
        <f t="shared" ca="1" si="4"/>
        <v>111.16666666666663</v>
      </c>
      <c r="N64" s="13">
        <f>SUMIFS('Leave Tracker'!F:F,'Leave Tracker'!A:A,'Annual Leave Balance'!A64,'Leave Tracker'!C:C,"Annual Leave")</f>
        <v>3</v>
      </c>
      <c r="O64" s="13">
        <f t="shared" ca="1" si="5"/>
        <v>108.16666666666663</v>
      </c>
    </row>
    <row r="65" spans="1:15" hidden="1" x14ac:dyDescent="0.3">
      <c r="A65" s="1">
        <v>945</v>
      </c>
      <c r="B65" s="14" t="s">
        <v>141</v>
      </c>
      <c r="C65" s="14" t="s">
        <v>68</v>
      </c>
      <c r="D65" s="15">
        <v>41205</v>
      </c>
      <c r="E65" s="15">
        <f t="shared" ca="1" si="6"/>
        <v>46195</v>
      </c>
      <c r="F65" s="1">
        <f t="shared" ca="1" si="1"/>
        <v>4990</v>
      </c>
      <c r="G65" s="1">
        <f t="shared" ca="1" si="2"/>
        <v>4905</v>
      </c>
      <c r="H65" s="1">
        <v>70</v>
      </c>
      <c r="I65" s="1">
        <v>15</v>
      </c>
      <c r="J65" s="13">
        <v>61.916666666666686</v>
      </c>
      <c r="K65" s="13">
        <f t="shared" ca="1" si="3"/>
        <v>408.75</v>
      </c>
      <c r="L65" s="1">
        <v>302</v>
      </c>
      <c r="M65" s="13">
        <f t="shared" ca="1" si="4"/>
        <v>106.75</v>
      </c>
      <c r="N65" s="13">
        <f>SUMIFS('Leave Tracker'!F:F,'Leave Tracker'!A:A,'Annual Leave Balance'!A65,'Leave Tracker'!C:C,"Annual Leave")</f>
        <v>60</v>
      </c>
      <c r="O65" s="13">
        <f t="shared" ca="1" si="5"/>
        <v>46.75</v>
      </c>
    </row>
    <row r="66" spans="1:15" hidden="1" x14ac:dyDescent="0.3">
      <c r="A66" s="1">
        <v>951</v>
      </c>
      <c r="B66" s="14" t="s">
        <v>142</v>
      </c>
      <c r="C66" s="14" t="s">
        <v>70</v>
      </c>
      <c r="D66" s="15">
        <v>41248</v>
      </c>
      <c r="E66" s="15">
        <f t="shared" ca="1" si="6"/>
        <v>46195</v>
      </c>
      <c r="F66" s="1">
        <f t="shared" ca="1" si="1"/>
        <v>4947</v>
      </c>
      <c r="G66" s="1">
        <f t="shared" ca="1" si="2"/>
        <v>4834</v>
      </c>
      <c r="H66" s="1">
        <v>113</v>
      </c>
      <c r="I66" s="1">
        <v>0</v>
      </c>
      <c r="J66" s="13">
        <v>-13</v>
      </c>
      <c r="K66" s="13">
        <f t="shared" ca="1" si="3"/>
        <v>402.83333333333331</v>
      </c>
      <c r="L66" s="1">
        <v>371</v>
      </c>
      <c r="M66" s="13">
        <f t="shared" ca="1" si="4"/>
        <v>31.833333333333314</v>
      </c>
      <c r="N66" s="13">
        <f>SUMIFS('Leave Tracker'!F:F,'Leave Tracker'!A:A,'Annual Leave Balance'!A66,'Leave Tracker'!C:C,"Annual Leave")</f>
        <v>60</v>
      </c>
      <c r="O66" s="13">
        <f t="shared" ca="1" si="5"/>
        <v>-28.166666666666686</v>
      </c>
    </row>
    <row r="67" spans="1:15" hidden="1" x14ac:dyDescent="0.3">
      <c r="A67" s="1">
        <v>976</v>
      </c>
      <c r="B67" s="47" t="s">
        <v>143</v>
      </c>
      <c r="C67" s="14" t="s">
        <v>144</v>
      </c>
      <c r="D67" s="15">
        <v>41276</v>
      </c>
      <c r="E67" s="15">
        <v>46022</v>
      </c>
      <c r="F67" s="1">
        <f t="shared" ref="F67:F129" si="7">E67-D67</f>
        <v>4746</v>
      </c>
      <c r="G67" s="1">
        <f t="shared" ref="G67:G129" si="8">F67-(H67+I67)</f>
        <v>4622</v>
      </c>
      <c r="H67" s="1">
        <v>109</v>
      </c>
      <c r="I67" s="1">
        <v>15</v>
      </c>
      <c r="J67" s="13">
        <v>37.75</v>
      </c>
      <c r="K67" s="13">
        <f t="shared" ref="K67:K129" si="9">G67/360*30</f>
        <v>385.16666666666663</v>
      </c>
      <c r="L67" s="1">
        <v>317</v>
      </c>
      <c r="M67" s="13">
        <f t="shared" ref="M67:M129" si="10">K67-L67</f>
        <v>68.166666666666629</v>
      </c>
      <c r="N67" s="13">
        <f>SUMIFS('Leave Tracker'!F:F,'Leave Tracker'!A:A,'Annual Leave Balance'!A67,'Leave Tracker'!C:C,"Annual Leave")</f>
        <v>39</v>
      </c>
      <c r="O67" s="13">
        <f t="shared" ref="O67:O129" si="11">M67-N67</f>
        <v>29.166666666666629</v>
      </c>
    </row>
    <row r="68" spans="1:15" hidden="1" x14ac:dyDescent="0.3">
      <c r="A68" s="1">
        <v>979</v>
      </c>
      <c r="B68" s="14" t="s">
        <v>145</v>
      </c>
      <c r="C68" s="14" t="s">
        <v>146</v>
      </c>
      <c r="D68" s="15">
        <v>41296</v>
      </c>
      <c r="E68" s="15">
        <f t="shared" ref="E68:E96" ca="1" si="12">TODAY()</f>
        <v>46195</v>
      </c>
      <c r="F68" s="1">
        <f t="shared" ca="1" si="7"/>
        <v>4899</v>
      </c>
      <c r="G68" s="1">
        <f t="shared" ca="1" si="8"/>
        <v>4822</v>
      </c>
      <c r="H68" s="1">
        <v>77</v>
      </c>
      <c r="I68" s="1">
        <v>0</v>
      </c>
      <c r="J68" s="13">
        <v>-6</v>
      </c>
      <c r="K68" s="13">
        <f t="shared" ca="1" si="9"/>
        <v>401.83333333333331</v>
      </c>
      <c r="L68" s="1">
        <v>363</v>
      </c>
      <c r="M68" s="13">
        <f t="shared" ca="1" si="10"/>
        <v>38.833333333333314</v>
      </c>
      <c r="N68" s="13">
        <f>SUMIFS('Leave Tracker'!F:F,'Leave Tracker'!A:A,'Annual Leave Balance'!A68,'Leave Tracker'!C:C,"Annual Leave")</f>
        <v>16</v>
      </c>
      <c r="O68" s="13">
        <f t="shared" ca="1" si="11"/>
        <v>22.833333333333314</v>
      </c>
    </row>
    <row r="69" spans="1:15" hidden="1" x14ac:dyDescent="0.3">
      <c r="A69" s="1">
        <v>999</v>
      </c>
      <c r="B69" s="47" t="s">
        <v>147</v>
      </c>
      <c r="C69" s="14" t="s">
        <v>148</v>
      </c>
      <c r="D69" s="15">
        <v>41365</v>
      </c>
      <c r="E69" s="15">
        <v>46022</v>
      </c>
      <c r="F69" s="1">
        <f t="shared" si="7"/>
        <v>4657</v>
      </c>
      <c r="G69" s="1">
        <f t="shared" si="8"/>
        <v>4561</v>
      </c>
      <c r="H69" s="1">
        <v>96</v>
      </c>
      <c r="I69" s="1">
        <v>0</v>
      </c>
      <c r="J69" s="13">
        <v>35.666666666666629</v>
      </c>
      <c r="K69" s="13">
        <f t="shared" si="9"/>
        <v>380.08333333333331</v>
      </c>
      <c r="L69" s="1">
        <v>314</v>
      </c>
      <c r="M69" s="13">
        <f t="shared" si="10"/>
        <v>66.083333333333314</v>
      </c>
      <c r="N69" s="13">
        <f>SUMIFS('Leave Tracker'!F:F,'Leave Tracker'!A:A,'Annual Leave Balance'!A69,'Leave Tracker'!C:C,"Annual Leave")</f>
        <v>60</v>
      </c>
      <c r="O69" s="13">
        <f t="shared" si="11"/>
        <v>6.0833333333333144</v>
      </c>
    </row>
    <row r="70" spans="1:15" hidden="1" x14ac:dyDescent="0.3">
      <c r="A70" s="1">
        <v>1016</v>
      </c>
      <c r="B70" s="14" t="s">
        <v>149</v>
      </c>
      <c r="C70" s="14" t="s">
        <v>64</v>
      </c>
      <c r="D70" s="15">
        <v>41410</v>
      </c>
      <c r="E70" s="15">
        <f t="shared" ca="1" si="12"/>
        <v>46195</v>
      </c>
      <c r="F70" s="1">
        <f t="shared" ca="1" si="7"/>
        <v>4785</v>
      </c>
      <c r="G70" s="1">
        <f t="shared" ca="1" si="8"/>
        <v>4767</v>
      </c>
      <c r="H70" s="1">
        <v>18</v>
      </c>
      <c r="I70" s="1">
        <v>0</v>
      </c>
      <c r="J70" s="13">
        <v>142.41666666666663</v>
      </c>
      <c r="K70" s="13">
        <f t="shared" ca="1" si="9"/>
        <v>397.25</v>
      </c>
      <c r="L70" s="1">
        <v>210</v>
      </c>
      <c r="M70" s="13">
        <f t="shared" ca="1" si="10"/>
        <v>187.25</v>
      </c>
      <c r="N70" s="13">
        <v>60</v>
      </c>
      <c r="O70" s="13">
        <f t="shared" ca="1" si="11"/>
        <v>127.25</v>
      </c>
    </row>
    <row r="71" spans="1:15" hidden="1" x14ac:dyDescent="0.3">
      <c r="A71" s="1">
        <v>1076</v>
      </c>
      <c r="B71" s="14" t="s">
        <v>150</v>
      </c>
      <c r="C71" s="14" t="s">
        <v>151</v>
      </c>
      <c r="D71" s="15">
        <v>40717</v>
      </c>
      <c r="E71" s="15">
        <f t="shared" ca="1" si="12"/>
        <v>46195</v>
      </c>
      <c r="F71" s="1">
        <f t="shared" ca="1" si="7"/>
        <v>5478</v>
      </c>
      <c r="G71" s="1">
        <f t="shared" ca="1" si="8"/>
        <v>5440</v>
      </c>
      <c r="H71" s="1">
        <v>17</v>
      </c>
      <c r="I71" s="1">
        <v>21</v>
      </c>
      <c r="J71" s="13">
        <v>18.5</v>
      </c>
      <c r="K71" s="13">
        <f t="shared" ca="1" si="9"/>
        <v>453.33333333333331</v>
      </c>
      <c r="L71" s="1">
        <v>390</v>
      </c>
      <c r="M71" s="13">
        <f t="shared" ca="1" si="10"/>
        <v>63.333333333333314</v>
      </c>
      <c r="N71" s="13">
        <f>SUMIFS('Leave Tracker'!F:F,'Leave Tracker'!A:A,'Annual Leave Balance'!A71,'Leave Tracker'!C:C,"Annual Leave")</f>
        <v>0</v>
      </c>
      <c r="O71" s="13">
        <f t="shared" ca="1" si="11"/>
        <v>63.333333333333314</v>
      </c>
    </row>
    <row r="72" spans="1:15" hidden="1" x14ac:dyDescent="0.3">
      <c r="A72" s="1">
        <v>1077</v>
      </c>
      <c r="B72" s="14" t="s">
        <v>152</v>
      </c>
      <c r="C72" s="14" t="s">
        <v>153</v>
      </c>
      <c r="D72" s="15">
        <v>38980</v>
      </c>
      <c r="E72" s="15">
        <f t="shared" ca="1" si="12"/>
        <v>46195</v>
      </c>
      <c r="F72" s="1">
        <f t="shared" ca="1" si="7"/>
        <v>7215</v>
      </c>
      <c r="G72" s="1">
        <f t="shared" ca="1" si="8"/>
        <v>6979</v>
      </c>
      <c r="H72" s="1">
        <v>236</v>
      </c>
      <c r="I72" s="1">
        <v>0</v>
      </c>
      <c r="J72" s="13">
        <v>226.75</v>
      </c>
      <c r="K72" s="13">
        <f t="shared" ca="1" si="9"/>
        <v>581.58333333333337</v>
      </c>
      <c r="L72" s="1">
        <v>310</v>
      </c>
      <c r="M72" s="13">
        <f t="shared" ca="1" si="10"/>
        <v>271.58333333333337</v>
      </c>
      <c r="N72" s="13">
        <f>SUMIFS('Leave Tracker'!F:F,'Leave Tracker'!A:A,'Annual Leave Balance'!A72,'Leave Tracker'!C:C,"Annual Leave")</f>
        <v>0</v>
      </c>
      <c r="O72" s="13">
        <f t="shared" ca="1" si="11"/>
        <v>271.58333333333337</v>
      </c>
    </row>
    <row r="73" spans="1:15" hidden="1" x14ac:dyDescent="0.3">
      <c r="A73" s="1">
        <v>1087</v>
      </c>
      <c r="B73" s="14" t="s">
        <v>154</v>
      </c>
      <c r="C73" s="14" t="s">
        <v>155</v>
      </c>
      <c r="D73" s="15">
        <v>40615</v>
      </c>
      <c r="E73" s="15">
        <f t="shared" ca="1" si="12"/>
        <v>46195</v>
      </c>
      <c r="F73" s="1">
        <f t="shared" ca="1" si="7"/>
        <v>5580</v>
      </c>
      <c r="G73" s="1">
        <f t="shared" ca="1" si="8"/>
        <v>5344</v>
      </c>
      <c r="H73" s="1">
        <v>236</v>
      </c>
      <c r="I73" s="1">
        <v>0</v>
      </c>
      <c r="J73" s="13">
        <v>51.5</v>
      </c>
      <c r="K73" s="13">
        <f t="shared" ca="1" si="9"/>
        <v>445.33333333333337</v>
      </c>
      <c r="L73" s="1">
        <v>349</v>
      </c>
      <c r="M73" s="13">
        <f t="shared" ca="1" si="10"/>
        <v>96.333333333333371</v>
      </c>
      <c r="N73" s="13">
        <v>30</v>
      </c>
      <c r="O73" s="13">
        <f t="shared" ca="1" si="11"/>
        <v>66.333333333333371</v>
      </c>
    </row>
    <row r="74" spans="1:15" hidden="1" x14ac:dyDescent="0.3">
      <c r="A74" s="1">
        <v>1090</v>
      </c>
      <c r="B74" s="14" t="s">
        <v>156</v>
      </c>
      <c r="C74" s="14" t="s">
        <v>157</v>
      </c>
      <c r="D74" s="15">
        <v>41017</v>
      </c>
      <c r="E74" s="15">
        <v>45988</v>
      </c>
      <c r="F74" s="1">
        <f t="shared" si="7"/>
        <v>4971</v>
      </c>
      <c r="G74" s="1">
        <f t="shared" si="8"/>
        <v>4738</v>
      </c>
      <c r="H74" s="1">
        <v>223</v>
      </c>
      <c r="I74" s="1">
        <v>10</v>
      </c>
      <c r="J74" s="13">
        <v>36.25</v>
      </c>
      <c r="K74" s="13">
        <f t="shared" si="9"/>
        <v>394.83333333333337</v>
      </c>
      <c r="L74" s="1">
        <v>331</v>
      </c>
      <c r="M74" s="13">
        <f t="shared" si="10"/>
        <v>63.833333333333371</v>
      </c>
      <c r="N74" s="13">
        <f>SUMIFS('Leave Tracker'!F:F,'Leave Tracker'!A:A,'Annual Leave Balance'!A74,'Leave Tracker'!C:C,"Annual Leave")</f>
        <v>62</v>
      </c>
      <c r="O74" s="13">
        <f t="shared" si="11"/>
        <v>1.8333333333333712</v>
      </c>
    </row>
    <row r="75" spans="1:15" hidden="1" x14ac:dyDescent="0.3">
      <c r="A75" s="1">
        <v>1093</v>
      </c>
      <c r="B75" s="14" t="s">
        <v>158</v>
      </c>
      <c r="C75" s="14" t="s">
        <v>159</v>
      </c>
      <c r="D75" s="15">
        <v>40829</v>
      </c>
      <c r="E75" s="15">
        <f t="shared" ca="1" si="12"/>
        <v>46195</v>
      </c>
      <c r="F75" s="1">
        <f t="shared" ca="1" si="7"/>
        <v>5366</v>
      </c>
      <c r="G75" s="1">
        <f t="shared" ca="1" si="8"/>
        <v>5242</v>
      </c>
      <c r="H75" s="1">
        <v>124</v>
      </c>
      <c r="I75" s="1">
        <v>0</v>
      </c>
      <c r="J75" s="13">
        <v>92</v>
      </c>
      <c r="K75" s="13">
        <f t="shared" ca="1" si="9"/>
        <v>436.83333333333337</v>
      </c>
      <c r="L75" s="1">
        <v>300</v>
      </c>
      <c r="M75" s="13">
        <f t="shared" ca="1" si="10"/>
        <v>136.83333333333337</v>
      </c>
      <c r="N75" s="13">
        <f>SUMIFS('Leave Tracker'!F:F,'Leave Tracker'!A:A,'Annual Leave Balance'!A75,'Leave Tracker'!C:C,"Annual Leave")</f>
        <v>60</v>
      </c>
      <c r="O75" s="13">
        <f t="shared" ca="1" si="11"/>
        <v>76.833333333333371</v>
      </c>
    </row>
    <row r="76" spans="1:15" hidden="1" x14ac:dyDescent="0.3">
      <c r="A76" s="1">
        <v>1106</v>
      </c>
      <c r="B76" s="14" t="s">
        <v>160</v>
      </c>
      <c r="C76" s="14" t="s">
        <v>131</v>
      </c>
      <c r="D76" s="15">
        <v>41582</v>
      </c>
      <c r="E76" s="15">
        <f t="shared" ca="1" si="12"/>
        <v>46195</v>
      </c>
      <c r="F76" s="1">
        <f t="shared" ca="1" si="7"/>
        <v>4613</v>
      </c>
      <c r="G76" s="1">
        <f t="shared" ca="1" si="8"/>
        <v>4441</v>
      </c>
      <c r="H76" s="1">
        <v>172</v>
      </c>
      <c r="I76" s="1">
        <v>0</v>
      </c>
      <c r="J76" s="13">
        <v>85.25</v>
      </c>
      <c r="K76" s="13">
        <f t="shared" ca="1" si="9"/>
        <v>370.08333333333331</v>
      </c>
      <c r="L76" s="1">
        <v>240</v>
      </c>
      <c r="M76" s="13">
        <f t="shared" ca="1" si="10"/>
        <v>130.08333333333331</v>
      </c>
      <c r="N76" s="13">
        <f>SUMIFS('Leave Tracker'!F:F,'Leave Tracker'!A:A,'Annual Leave Balance'!A76,'Leave Tracker'!C:C,"Annual Leave")</f>
        <v>60</v>
      </c>
      <c r="O76" s="13">
        <f t="shared" ca="1" si="11"/>
        <v>70.083333333333314</v>
      </c>
    </row>
    <row r="77" spans="1:15" hidden="1" x14ac:dyDescent="0.3">
      <c r="A77" s="1">
        <v>1109</v>
      </c>
      <c r="B77" s="14" t="s">
        <v>161</v>
      </c>
      <c r="C77" s="14" t="s">
        <v>108</v>
      </c>
      <c r="D77" s="15">
        <v>42742</v>
      </c>
      <c r="E77" s="15">
        <f t="shared" ca="1" si="12"/>
        <v>46195</v>
      </c>
      <c r="F77" s="1">
        <f t="shared" ca="1" si="7"/>
        <v>3453</v>
      </c>
      <c r="G77" s="1">
        <f t="shared" ca="1" si="8"/>
        <v>3241</v>
      </c>
      <c r="H77" s="1">
        <v>140</v>
      </c>
      <c r="I77" s="1">
        <v>72</v>
      </c>
      <c r="J77" s="13">
        <v>0.25</v>
      </c>
      <c r="K77" s="13">
        <f t="shared" ca="1" si="9"/>
        <v>270.08333333333337</v>
      </c>
      <c r="L77" s="1">
        <v>225</v>
      </c>
      <c r="M77" s="13">
        <f t="shared" ca="1" si="10"/>
        <v>45.083333333333371</v>
      </c>
      <c r="N77" s="13">
        <f>SUMIFS('Leave Tracker'!F:F,'Leave Tracker'!A:A,'Annual Leave Balance'!A77,'Leave Tracker'!C:C,"Annual Leave")</f>
        <v>0</v>
      </c>
      <c r="O77" s="13">
        <f t="shared" ca="1" si="11"/>
        <v>45.083333333333371</v>
      </c>
    </row>
    <row r="78" spans="1:15" hidden="1" x14ac:dyDescent="0.3">
      <c r="A78" s="1">
        <v>1183</v>
      </c>
      <c r="B78" s="14" t="s">
        <v>162</v>
      </c>
      <c r="C78" s="14" t="s">
        <v>68</v>
      </c>
      <c r="D78" s="15">
        <v>41694</v>
      </c>
      <c r="E78" s="15">
        <f t="shared" ca="1" si="12"/>
        <v>46195</v>
      </c>
      <c r="F78" s="1">
        <f t="shared" ca="1" si="7"/>
        <v>4501</v>
      </c>
      <c r="G78" s="1">
        <f t="shared" ca="1" si="8"/>
        <v>4443</v>
      </c>
      <c r="H78" s="1">
        <v>58</v>
      </c>
      <c r="I78" s="1">
        <v>0</v>
      </c>
      <c r="J78" s="13">
        <v>75.416666666666629</v>
      </c>
      <c r="K78" s="13">
        <f t="shared" ca="1" si="9"/>
        <v>370.25</v>
      </c>
      <c r="L78" s="1">
        <v>250</v>
      </c>
      <c r="M78" s="13">
        <f t="shared" ca="1" si="10"/>
        <v>120.25</v>
      </c>
      <c r="N78" s="13">
        <f>SUMIFS('Leave Tracker'!F:F,'Leave Tracker'!A:A,'Annual Leave Balance'!A78,'Leave Tracker'!C:C,"Annual Leave")</f>
        <v>0</v>
      </c>
      <c r="O78" s="13">
        <f t="shared" ca="1" si="11"/>
        <v>120.25</v>
      </c>
    </row>
    <row r="79" spans="1:15" hidden="1" x14ac:dyDescent="0.3">
      <c r="A79" s="1">
        <v>1186</v>
      </c>
      <c r="B79" s="14" t="s">
        <v>163</v>
      </c>
      <c r="C79" s="14" t="s">
        <v>164</v>
      </c>
      <c r="D79" s="15">
        <v>41694</v>
      </c>
      <c r="E79" s="15">
        <f t="shared" ca="1" si="12"/>
        <v>46195</v>
      </c>
      <c r="F79" s="1">
        <f t="shared" ca="1" si="7"/>
        <v>4501</v>
      </c>
      <c r="G79" s="1">
        <f t="shared" ca="1" si="8"/>
        <v>4409</v>
      </c>
      <c r="H79" s="1">
        <v>31</v>
      </c>
      <c r="I79" s="1">
        <v>61</v>
      </c>
      <c r="J79" s="13">
        <v>82.583333333333371</v>
      </c>
      <c r="K79" s="13">
        <f t="shared" ca="1" si="9"/>
        <v>367.41666666666663</v>
      </c>
      <c r="L79" s="1">
        <v>240</v>
      </c>
      <c r="M79" s="13">
        <f t="shared" ca="1" si="10"/>
        <v>127.41666666666663</v>
      </c>
      <c r="N79" s="13">
        <f>SUMIFS('Leave Tracker'!F:F,'Leave Tracker'!A:A,'Annual Leave Balance'!A79,'Leave Tracker'!C:C,"Annual Leave")</f>
        <v>62</v>
      </c>
      <c r="O79" s="13">
        <f t="shared" ca="1" si="11"/>
        <v>65.416666666666629</v>
      </c>
    </row>
    <row r="80" spans="1:15" hidden="1" x14ac:dyDescent="0.3">
      <c r="A80" s="1">
        <v>1194</v>
      </c>
      <c r="B80" s="14" t="s">
        <v>165</v>
      </c>
      <c r="C80" s="14" t="s">
        <v>166</v>
      </c>
      <c r="D80" s="15">
        <v>41707</v>
      </c>
      <c r="E80" s="15">
        <f t="shared" ca="1" si="12"/>
        <v>46195</v>
      </c>
      <c r="F80" s="1">
        <f t="shared" ca="1" si="7"/>
        <v>4488</v>
      </c>
      <c r="G80" s="1">
        <f t="shared" ca="1" si="8"/>
        <v>4351</v>
      </c>
      <c r="H80" s="1">
        <v>117</v>
      </c>
      <c r="I80" s="1">
        <v>20</v>
      </c>
      <c r="J80" s="13">
        <v>77.75</v>
      </c>
      <c r="K80" s="13">
        <f t="shared" ca="1" si="9"/>
        <v>362.58333333333331</v>
      </c>
      <c r="L80" s="1">
        <v>240</v>
      </c>
      <c r="M80" s="13">
        <f t="shared" ca="1" si="10"/>
        <v>122.58333333333331</v>
      </c>
      <c r="N80" s="13">
        <f>SUMIFS('Leave Tracker'!F:F,'Leave Tracker'!A:A,'Annual Leave Balance'!A80,'Leave Tracker'!C:C,"Annual Leave")</f>
        <v>90</v>
      </c>
      <c r="O80" s="13">
        <f t="shared" ca="1" si="11"/>
        <v>32.583333333333314</v>
      </c>
    </row>
    <row r="81" spans="1:16" hidden="1" x14ac:dyDescent="0.3">
      <c r="A81" s="1">
        <v>1206</v>
      </c>
      <c r="B81" s="14" t="s">
        <v>167</v>
      </c>
      <c r="C81" s="14" t="s">
        <v>68</v>
      </c>
      <c r="D81" s="15">
        <v>41735</v>
      </c>
      <c r="E81" s="15">
        <f t="shared" ca="1" si="12"/>
        <v>46195</v>
      </c>
      <c r="F81" s="1">
        <f t="shared" ca="1" si="7"/>
        <v>4460</v>
      </c>
      <c r="G81" s="1">
        <f t="shared" ca="1" si="8"/>
        <v>4394</v>
      </c>
      <c r="H81" s="1">
        <v>66</v>
      </c>
      <c r="I81" s="1">
        <v>0</v>
      </c>
      <c r="J81" s="13">
        <v>81.333333333333314</v>
      </c>
      <c r="K81" s="13">
        <f t="shared" ca="1" si="9"/>
        <v>366.16666666666669</v>
      </c>
      <c r="L81" s="1">
        <v>240</v>
      </c>
      <c r="M81" s="13">
        <f t="shared" ca="1" si="10"/>
        <v>126.16666666666669</v>
      </c>
      <c r="N81" s="13">
        <f>SUMIFS('Leave Tracker'!F:F,'Leave Tracker'!A:A,'Annual Leave Balance'!A81,'Leave Tracker'!C:C,"Annual Leave")</f>
        <v>60</v>
      </c>
      <c r="O81" s="13">
        <f t="shared" ca="1" si="11"/>
        <v>66.166666666666686</v>
      </c>
    </row>
    <row r="82" spans="1:16" hidden="1" x14ac:dyDescent="0.3">
      <c r="A82" s="1">
        <v>1207</v>
      </c>
      <c r="B82" s="14" t="s">
        <v>168</v>
      </c>
      <c r="C82" s="14" t="s">
        <v>169</v>
      </c>
      <c r="D82" s="15">
        <v>41735</v>
      </c>
      <c r="E82" s="15">
        <f t="shared" ca="1" si="12"/>
        <v>46195</v>
      </c>
      <c r="F82" s="1">
        <f t="shared" ca="1" si="7"/>
        <v>4460</v>
      </c>
      <c r="G82" s="1">
        <f t="shared" ca="1" si="8"/>
        <v>4367</v>
      </c>
      <c r="H82" s="1">
        <v>93</v>
      </c>
      <c r="I82" s="1">
        <v>0</v>
      </c>
      <c r="J82" s="13">
        <v>63.083333333333314</v>
      </c>
      <c r="K82" s="13">
        <f t="shared" ca="1" si="9"/>
        <v>363.91666666666669</v>
      </c>
      <c r="L82" s="1">
        <v>256</v>
      </c>
      <c r="M82" s="13">
        <f t="shared" ca="1" si="10"/>
        <v>107.91666666666669</v>
      </c>
      <c r="N82" s="13">
        <f>SUMIFS('Leave Tracker'!F:F,'Leave Tracker'!A:A,'Annual Leave Balance'!A82,'Leave Tracker'!C:C,"Annual Leave")</f>
        <v>0</v>
      </c>
      <c r="O82" s="13">
        <f t="shared" ca="1" si="11"/>
        <v>107.91666666666669</v>
      </c>
    </row>
    <row r="83" spans="1:16" hidden="1" x14ac:dyDescent="0.3">
      <c r="A83" s="1">
        <v>1208</v>
      </c>
      <c r="B83" s="14" t="s">
        <v>170</v>
      </c>
      <c r="C83" s="14" t="s">
        <v>169</v>
      </c>
      <c r="D83" s="15">
        <v>41738</v>
      </c>
      <c r="E83" s="15">
        <f t="shared" ca="1" si="12"/>
        <v>46195</v>
      </c>
      <c r="F83" s="1">
        <f t="shared" ca="1" si="7"/>
        <v>4457</v>
      </c>
      <c r="G83" s="1">
        <f t="shared" ca="1" si="8"/>
        <v>4421</v>
      </c>
      <c r="H83" s="1">
        <v>36</v>
      </c>
      <c r="I83" s="1">
        <v>0</v>
      </c>
      <c r="J83" s="13">
        <v>113.58333333333337</v>
      </c>
      <c r="K83" s="13">
        <f t="shared" ca="1" si="9"/>
        <v>368.41666666666663</v>
      </c>
      <c r="L83" s="1">
        <v>210</v>
      </c>
      <c r="M83" s="13">
        <f t="shared" ca="1" si="10"/>
        <v>158.41666666666663</v>
      </c>
      <c r="N83" s="13">
        <f>SUMIFS('Leave Tracker'!F:F,'Leave Tracker'!A:A,'Annual Leave Balance'!A83,'Leave Tracker'!C:C,"Annual Leave")</f>
        <v>0</v>
      </c>
      <c r="O83" s="13">
        <f t="shared" ca="1" si="11"/>
        <v>158.41666666666663</v>
      </c>
    </row>
    <row r="84" spans="1:16" hidden="1" x14ac:dyDescent="0.3">
      <c r="A84" s="1">
        <v>1219</v>
      </c>
      <c r="B84" s="14" t="s">
        <v>171</v>
      </c>
      <c r="C84" s="14" t="s">
        <v>172</v>
      </c>
      <c r="D84" s="15">
        <v>41770</v>
      </c>
      <c r="E84" s="15">
        <f t="shared" ca="1" si="12"/>
        <v>46195</v>
      </c>
      <c r="F84" s="1">
        <f t="shared" ca="1" si="7"/>
        <v>4425</v>
      </c>
      <c r="G84" s="1">
        <f t="shared" ca="1" si="8"/>
        <v>4253</v>
      </c>
      <c r="H84" s="1">
        <v>167</v>
      </c>
      <c r="I84" s="1">
        <v>5</v>
      </c>
      <c r="J84" s="13">
        <v>34.583333333333314</v>
      </c>
      <c r="K84" s="13">
        <f t="shared" ca="1" si="9"/>
        <v>354.41666666666663</v>
      </c>
      <c r="L84" s="1">
        <v>275</v>
      </c>
      <c r="M84" s="13">
        <f t="shared" ca="1" si="10"/>
        <v>79.416666666666629</v>
      </c>
      <c r="N84" s="13">
        <f>SUMIFS('Leave Tracker'!F:F,'Leave Tracker'!A:A,'Annual Leave Balance'!A84,'Leave Tracker'!C:C,"Annual Leave")</f>
        <v>30</v>
      </c>
      <c r="O84" s="13">
        <f t="shared" ca="1" si="11"/>
        <v>49.416666666666629</v>
      </c>
    </row>
    <row r="85" spans="1:16" hidden="1" x14ac:dyDescent="0.3">
      <c r="A85" s="1">
        <v>1220</v>
      </c>
      <c r="B85" s="14" t="s">
        <v>173</v>
      </c>
      <c r="C85" s="14" t="s">
        <v>68</v>
      </c>
      <c r="D85" s="15">
        <v>41770</v>
      </c>
      <c r="E85" s="15">
        <f t="shared" ca="1" si="12"/>
        <v>46195</v>
      </c>
      <c r="F85" s="1">
        <f t="shared" ca="1" si="7"/>
        <v>4425</v>
      </c>
      <c r="G85" s="1">
        <f t="shared" ca="1" si="8"/>
        <v>4124</v>
      </c>
      <c r="H85" s="1">
        <v>301</v>
      </c>
      <c r="I85" s="1">
        <v>0</v>
      </c>
      <c r="J85" s="13">
        <v>79.833333333333314</v>
      </c>
      <c r="K85" s="13">
        <f t="shared" ca="1" si="9"/>
        <v>343.66666666666669</v>
      </c>
      <c r="L85" s="1">
        <v>219</v>
      </c>
      <c r="M85" s="13">
        <f t="shared" ca="1" si="10"/>
        <v>124.66666666666669</v>
      </c>
      <c r="N85" s="13">
        <f>SUMIFS('Leave Tracker'!F:F,'Leave Tracker'!A:A,'Annual Leave Balance'!A85,'Leave Tracker'!C:C,"Annual Leave")</f>
        <v>60</v>
      </c>
      <c r="O85" s="13">
        <f t="shared" ca="1" si="11"/>
        <v>64.666666666666686</v>
      </c>
    </row>
    <row r="86" spans="1:16" hidden="1" x14ac:dyDescent="0.3">
      <c r="A86" s="1">
        <v>1221</v>
      </c>
      <c r="B86" s="14" t="s">
        <v>174</v>
      </c>
      <c r="C86" s="14" t="s">
        <v>68</v>
      </c>
      <c r="D86" s="15">
        <v>41777</v>
      </c>
      <c r="E86" s="15">
        <f t="shared" ca="1" si="12"/>
        <v>46195</v>
      </c>
      <c r="F86" s="1">
        <f t="shared" ca="1" si="7"/>
        <v>4418</v>
      </c>
      <c r="G86" s="1">
        <f t="shared" ca="1" si="8"/>
        <v>4311</v>
      </c>
      <c r="H86" s="1">
        <v>107</v>
      </c>
      <c r="I86" s="1">
        <v>0</v>
      </c>
      <c r="J86" s="13">
        <v>74.416666666666686</v>
      </c>
      <c r="K86" s="13">
        <f t="shared" ca="1" si="9"/>
        <v>359.25</v>
      </c>
      <c r="L86" s="1">
        <v>240</v>
      </c>
      <c r="M86" s="13">
        <f t="shared" ca="1" si="10"/>
        <v>119.25</v>
      </c>
      <c r="N86" s="13">
        <f>SUMIFS('Leave Tracker'!F:F,'Leave Tracker'!A:A,'Annual Leave Balance'!A86,'Leave Tracker'!C:C,"Annual Leave")</f>
        <v>60</v>
      </c>
      <c r="O86" s="13">
        <f t="shared" ca="1" si="11"/>
        <v>59.25</v>
      </c>
    </row>
    <row r="87" spans="1:16" hidden="1" x14ac:dyDescent="0.3">
      <c r="A87" s="1">
        <v>1263</v>
      </c>
      <c r="B87" s="14" t="s">
        <v>175</v>
      </c>
      <c r="C87" s="14" t="s">
        <v>176</v>
      </c>
      <c r="D87" s="15">
        <v>41863</v>
      </c>
      <c r="E87" s="15">
        <f t="shared" ca="1" si="12"/>
        <v>46195</v>
      </c>
      <c r="F87" s="1">
        <f t="shared" ca="1" si="7"/>
        <v>4332</v>
      </c>
      <c r="G87" s="1">
        <f t="shared" ca="1" si="8"/>
        <v>4299</v>
      </c>
      <c r="H87" s="1">
        <v>33</v>
      </c>
      <c r="I87" s="1">
        <v>0</v>
      </c>
      <c r="J87" s="13">
        <v>7.25</v>
      </c>
      <c r="K87" s="13">
        <f t="shared" ca="1" si="9"/>
        <v>358.25</v>
      </c>
      <c r="L87" s="1">
        <v>298</v>
      </c>
      <c r="M87" s="13">
        <f ca="1">K87-L87</f>
        <v>60.25</v>
      </c>
      <c r="N87" s="13">
        <v>11</v>
      </c>
      <c r="O87" s="13">
        <f ca="1">M87-N87</f>
        <v>49.25</v>
      </c>
      <c r="P87" t="s">
        <v>627</v>
      </c>
    </row>
    <row r="88" spans="1:16" hidden="1" x14ac:dyDescent="0.3">
      <c r="A88" s="1">
        <v>1282</v>
      </c>
      <c r="B88" s="14" t="s">
        <v>177</v>
      </c>
      <c r="C88" s="14" t="s">
        <v>99</v>
      </c>
      <c r="D88" s="15">
        <v>41892</v>
      </c>
      <c r="E88" s="15">
        <f t="shared" ca="1" si="12"/>
        <v>46195</v>
      </c>
      <c r="F88" s="1">
        <f t="shared" ca="1" si="7"/>
        <v>4303</v>
      </c>
      <c r="G88" s="1">
        <f t="shared" ca="1" si="8"/>
        <v>4197</v>
      </c>
      <c r="H88" s="1">
        <v>106</v>
      </c>
      <c r="I88" s="1">
        <v>0</v>
      </c>
      <c r="J88" s="13">
        <v>64.916666666666686</v>
      </c>
      <c r="K88" s="13">
        <f t="shared" ca="1" si="9"/>
        <v>349.75</v>
      </c>
      <c r="L88" s="1">
        <v>240</v>
      </c>
      <c r="M88" s="13">
        <f t="shared" ca="1" si="10"/>
        <v>109.75</v>
      </c>
      <c r="N88" s="13">
        <f>SUMIFS('Leave Tracker'!F:F,'Leave Tracker'!A:A,'Annual Leave Balance'!A88,'Leave Tracker'!C:C,"Annual Leave")</f>
        <v>70</v>
      </c>
      <c r="O88" s="13">
        <f t="shared" ca="1" si="11"/>
        <v>39.75</v>
      </c>
    </row>
    <row r="89" spans="1:16" hidden="1" x14ac:dyDescent="0.3">
      <c r="A89" s="1">
        <v>1307</v>
      </c>
      <c r="B89" s="14" t="s">
        <v>178</v>
      </c>
      <c r="C89" s="14" t="s">
        <v>179</v>
      </c>
      <c r="D89" s="15">
        <v>41913</v>
      </c>
      <c r="E89" s="15">
        <f t="shared" ca="1" si="12"/>
        <v>46195</v>
      </c>
      <c r="F89" s="1">
        <f t="shared" ca="1" si="7"/>
        <v>4282</v>
      </c>
      <c r="G89" s="1">
        <f t="shared" ca="1" si="8"/>
        <v>4189</v>
      </c>
      <c r="H89" s="1">
        <v>78</v>
      </c>
      <c r="I89" s="1">
        <v>15</v>
      </c>
      <c r="J89" s="13">
        <v>42.25</v>
      </c>
      <c r="K89" s="13">
        <f t="shared" ca="1" si="9"/>
        <v>349.08333333333331</v>
      </c>
      <c r="L89" s="1">
        <v>262</v>
      </c>
      <c r="M89" s="13">
        <f t="shared" ca="1" si="10"/>
        <v>87.083333333333314</v>
      </c>
      <c r="N89" s="13">
        <f>SUMIFS('Leave Tracker'!F:F,'Leave Tracker'!A:A,'Annual Leave Balance'!A89,'Leave Tracker'!C:C,"Annual Leave")</f>
        <v>0</v>
      </c>
      <c r="O89" s="13">
        <f t="shared" ca="1" si="11"/>
        <v>87.083333333333314</v>
      </c>
    </row>
    <row r="90" spans="1:16" hidden="1" x14ac:dyDescent="0.3">
      <c r="A90" s="1">
        <v>1315</v>
      </c>
      <c r="B90" s="14" t="s">
        <v>180</v>
      </c>
      <c r="C90" s="14" t="s">
        <v>68</v>
      </c>
      <c r="D90" s="15">
        <v>41921</v>
      </c>
      <c r="E90" s="15">
        <f t="shared" ca="1" si="12"/>
        <v>46195</v>
      </c>
      <c r="F90" s="1">
        <f t="shared" ca="1" si="7"/>
        <v>4274</v>
      </c>
      <c r="G90" s="1">
        <f t="shared" ca="1" si="8"/>
        <v>4175</v>
      </c>
      <c r="H90" s="1">
        <v>99</v>
      </c>
      <c r="I90" s="1">
        <v>0</v>
      </c>
      <c r="J90" s="13">
        <v>62.083333333333314</v>
      </c>
      <c r="K90" s="13">
        <f t="shared" ca="1" si="9"/>
        <v>347.91666666666663</v>
      </c>
      <c r="L90" s="1">
        <v>241</v>
      </c>
      <c r="M90" s="13">
        <f t="shared" ca="1" si="10"/>
        <v>106.91666666666663</v>
      </c>
      <c r="N90" s="13">
        <f>SUMIFS('Leave Tracker'!F:F,'Leave Tracker'!A:A,'Annual Leave Balance'!A90,'Leave Tracker'!C:C,"Annual Leave")</f>
        <v>26</v>
      </c>
      <c r="O90" s="13">
        <f t="shared" ca="1" si="11"/>
        <v>80.916666666666629</v>
      </c>
    </row>
    <row r="91" spans="1:16" hidden="1" x14ac:dyDescent="0.3">
      <c r="A91" s="1">
        <v>1319</v>
      </c>
      <c r="B91" s="14" t="s">
        <v>181</v>
      </c>
      <c r="C91" s="14" t="s">
        <v>182</v>
      </c>
      <c r="D91" s="15">
        <v>41926</v>
      </c>
      <c r="E91" s="15">
        <f t="shared" ca="1" si="12"/>
        <v>46195</v>
      </c>
      <c r="F91" s="1">
        <f t="shared" ca="1" si="7"/>
        <v>4269</v>
      </c>
      <c r="G91" s="1">
        <f t="shared" ca="1" si="8"/>
        <v>4243</v>
      </c>
      <c r="H91" s="1">
        <v>9</v>
      </c>
      <c r="I91" s="1">
        <v>17</v>
      </c>
      <c r="J91" s="13">
        <v>25.75</v>
      </c>
      <c r="K91" s="13">
        <f t="shared" ca="1" si="9"/>
        <v>353.58333333333337</v>
      </c>
      <c r="L91" s="1">
        <v>283</v>
      </c>
      <c r="M91" s="13">
        <f t="shared" ca="1" si="10"/>
        <v>70.583333333333371</v>
      </c>
      <c r="N91" s="13">
        <f>SUMIFS('Leave Tracker'!F:F,'Leave Tracker'!A:A,'Annual Leave Balance'!A91,'Leave Tracker'!C:C,"Annual Leave")</f>
        <v>27</v>
      </c>
      <c r="O91" s="13">
        <f t="shared" ca="1" si="11"/>
        <v>43.583333333333371</v>
      </c>
    </row>
    <row r="92" spans="1:16" hidden="1" x14ac:dyDescent="0.3">
      <c r="A92" s="1">
        <v>1345</v>
      </c>
      <c r="B92" s="14" t="s">
        <v>183</v>
      </c>
      <c r="C92" s="14" t="s">
        <v>184</v>
      </c>
      <c r="D92" s="15">
        <v>41594</v>
      </c>
      <c r="E92" s="15">
        <f t="shared" ca="1" si="12"/>
        <v>46195</v>
      </c>
      <c r="F92" s="1">
        <f t="shared" ca="1" si="7"/>
        <v>4601</v>
      </c>
      <c r="G92" s="1">
        <f t="shared" ca="1" si="8"/>
        <v>4614</v>
      </c>
      <c r="H92" s="1">
        <v>-13</v>
      </c>
      <c r="I92" s="1">
        <v>0</v>
      </c>
      <c r="J92" s="13">
        <v>254.66666666666669</v>
      </c>
      <c r="K92" s="13">
        <f t="shared" ca="1" si="9"/>
        <v>384.5</v>
      </c>
      <c r="L92" s="1">
        <v>85</v>
      </c>
      <c r="M92" s="13">
        <f t="shared" ca="1" si="10"/>
        <v>299.5</v>
      </c>
      <c r="N92" s="13">
        <f>SUMIFS('Leave Tracker'!F:F,'Leave Tracker'!A:A,'Annual Leave Balance'!A92,'Leave Tracker'!C:C,"Annual Leave")</f>
        <v>0</v>
      </c>
      <c r="O92" s="13">
        <f t="shared" ca="1" si="11"/>
        <v>299.5</v>
      </c>
    </row>
    <row r="93" spans="1:16" hidden="1" x14ac:dyDescent="0.3">
      <c r="A93" s="1">
        <v>1360</v>
      </c>
      <c r="B93" s="14" t="s">
        <v>185</v>
      </c>
      <c r="C93" s="14" t="s">
        <v>186</v>
      </c>
      <c r="D93" s="15">
        <v>41997</v>
      </c>
      <c r="E93" s="15">
        <f t="shared" ca="1" si="12"/>
        <v>46195</v>
      </c>
      <c r="F93" s="1">
        <f t="shared" ca="1" si="7"/>
        <v>4198</v>
      </c>
      <c r="G93" s="1">
        <f t="shared" ca="1" si="8"/>
        <v>4190</v>
      </c>
      <c r="H93" s="1">
        <v>1</v>
      </c>
      <c r="I93" s="1">
        <v>7</v>
      </c>
      <c r="J93" s="13">
        <v>172.33333333333331</v>
      </c>
      <c r="K93" s="13">
        <f t="shared" ca="1" si="9"/>
        <v>349.16666666666669</v>
      </c>
      <c r="L93" s="1">
        <v>132</v>
      </c>
      <c r="M93" s="13">
        <f t="shared" ca="1" si="10"/>
        <v>217.16666666666669</v>
      </c>
      <c r="N93" s="13">
        <f>SUMIFS('Leave Tracker'!F:F,'Leave Tracker'!A:A,'Annual Leave Balance'!A93,'Leave Tracker'!C:C,"Annual Leave")</f>
        <v>15</v>
      </c>
      <c r="O93" s="13">
        <f t="shared" ca="1" si="11"/>
        <v>202.16666666666669</v>
      </c>
    </row>
    <row r="94" spans="1:16" hidden="1" x14ac:dyDescent="0.3">
      <c r="A94" s="1">
        <v>1376</v>
      </c>
      <c r="B94" s="14" t="s">
        <v>187</v>
      </c>
      <c r="C94" s="14" t="s">
        <v>131</v>
      </c>
      <c r="D94" s="15">
        <v>42054</v>
      </c>
      <c r="E94" s="15">
        <f t="shared" ca="1" si="12"/>
        <v>46195</v>
      </c>
      <c r="F94" s="1">
        <f t="shared" ca="1" si="7"/>
        <v>4141</v>
      </c>
      <c r="G94" s="1">
        <f t="shared" ca="1" si="8"/>
        <v>4075</v>
      </c>
      <c r="H94" s="1">
        <v>66</v>
      </c>
      <c r="I94" s="1">
        <v>0</v>
      </c>
      <c r="J94" s="13">
        <v>63.75</v>
      </c>
      <c r="K94" s="13">
        <f t="shared" ca="1" si="9"/>
        <v>339.58333333333331</v>
      </c>
      <c r="L94" s="1">
        <v>231</v>
      </c>
      <c r="M94" s="13">
        <f t="shared" ca="1" si="10"/>
        <v>108.58333333333331</v>
      </c>
      <c r="N94" s="13">
        <f>SUMIFS('Leave Tracker'!F:F,'Leave Tracker'!A:A,'Annual Leave Balance'!A94,'Leave Tracker'!C:C,"Annual Leave")</f>
        <v>60</v>
      </c>
      <c r="O94" s="13">
        <f t="shared" ca="1" si="11"/>
        <v>48.583333333333314</v>
      </c>
    </row>
    <row r="95" spans="1:16" hidden="1" x14ac:dyDescent="0.3">
      <c r="A95" s="1">
        <v>1399</v>
      </c>
      <c r="B95" s="14" t="s">
        <v>188</v>
      </c>
      <c r="C95" s="14" t="s">
        <v>108</v>
      </c>
      <c r="D95" s="15">
        <v>42085</v>
      </c>
      <c r="E95" s="15">
        <f t="shared" ca="1" si="12"/>
        <v>46195</v>
      </c>
      <c r="F95" s="1">
        <f t="shared" ca="1" si="7"/>
        <v>4110</v>
      </c>
      <c r="G95" s="1">
        <f t="shared" ca="1" si="8"/>
        <v>3802</v>
      </c>
      <c r="H95" s="1">
        <f>222+14+41</f>
        <v>277</v>
      </c>
      <c r="I95" s="1">
        <f>9+7+15</f>
        <v>31</v>
      </c>
      <c r="J95" s="13">
        <v>38.416666666666629</v>
      </c>
      <c r="K95" s="13">
        <f t="shared" ca="1" si="9"/>
        <v>316.83333333333337</v>
      </c>
      <c r="L95" s="1">
        <v>240</v>
      </c>
      <c r="M95" s="13">
        <f t="shared" ca="1" si="10"/>
        <v>76.833333333333371</v>
      </c>
      <c r="N95" s="13">
        <f>SUMIFS('Leave Tracker'!F:F,'Leave Tracker'!A:A,'Annual Leave Balance'!A95,'Leave Tracker'!C:C,"Annual Leave")</f>
        <v>0</v>
      </c>
      <c r="O95" s="13">
        <f t="shared" ca="1" si="11"/>
        <v>76.833333333333371</v>
      </c>
    </row>
    <row r="96" spans="1:16" hidden="1" x14ac:dyDescent="0.3">
      <c r="A96" s="1">
        <v>1402</v>
      </c>
      <c r="B96" s="14" t="s">
        <v>189</v>
      </c>
      <c r="C96" s="14" t="s">
        <v>190</v>
      </c>
      <c r="D96" s="15">
        <v>42089</v>
      </c>
      <c r="E96" s="15">
        <f t="shared" ca="1" si="12"/>
        <v>46195</v>
      </c>
      <c r="F96" s="1">
        <f t="shared" ca="1" si="7"/>
        <v>4106</v>
      </c>
      <c r="G96" s="1">
        <f t="shared" ca="1" si="8"/>
        <v>4061</v>
      </c>
      <c r="H96" s="1">
        <v>45</v>
      </c>
      <c r="I96" s="1">
        <v>0</v>
      </c>
      <c r="J96" s="13">
        <v>53.583333333333371</v>
      </c>
      <c r="K96" s="13">
        <f t="shared" ca="1" si="9"/>
        <v>338.41666666666663</v>
      </c>
      <c r="L96" s="1">
        <v>240</v>
      </c>
      <c r="M96" s="13">
        <f t="shared" ca="1" si="10"/>
        <v>98.416666666666629</v>
      </c>
      <c r="N96" s="13">
        <f>SUMIFS('Leave Tracker'!F:F,'Leave Tracker'!A:A,'Annual Leave Balance'!A96,'Leave Tracker'!C:C,"Annual Leave")</f>
        <v>0</v>
      </c>
      <c r="O96" s="13">
        <f t="shared" ca="1" si="11"/>
        <v>98.416666666666629</v>
      </c>
    </row>
    <row r="97" spans="1:15" hidden="1" x14ac:dyDescent="0.3">
      <c r="A97" s="1">
        <v>1417</v>
      </c>
      <c r="B97" s="14" t="s">
        <v>191</v>
      </c>
      <c r="C97" s="14" t="s">
        <v>192</v>
      </c>
      <c r="D97" s="15">
        <v>42120</v>
      </c>
      <c r="E97" s="15">
        <f ca="1">TODAY()</f>
        <v>46195</v>
      </c>
      <c r="F97" s="1">
        <f t="shared" ca="1" si="7"/>
        <v>4075</v>
      </c>
      <c r="G97" s="1">
        <f t="shared" ca="1" si="8"/>
        <v>3996</v>
      </c>
      <c r="H97" s="1">
        <v>79</v>
      </c>
      <c r="I97" s="1">
        <v>0</v>
      </c>
      <c r="J97" s="13">
        <v>72.166666666666686</v>
      </c>
      <c r="K97" s="13">
        <f t="shared" ca="1" si="9"/>
        <v>333</v>
      </c>
      <c r="L97" s="1">
        <v>216</v>
      </c>
      <c r="M97" s="13">
        <f t="shared" ca="1" si="10"/>
        <v>117</v>
      </c>
      <c r="N97" s="13">
        <f>SUMIFS('Leave Tracker'!F:F,'Leave Tracker'!A:A,'Annual Leave Balance'!A97,'Leave Tracker'!C:C,"Annual Leave")</f>
        <v>79</v>
      </c>
      <c r="O97" s="13">
        <f t="shared" ca="1" si="11"/>
        <v>38</v>
      </c>
    </row>
    <row r="98" spans="1:15" hidden="1" x14ac:dyDescent="0.3">
      <c r="A98" s="1">
        <v>1539</v>
      </c>
      <c r="B98" s="47" t="s">
        <v>193</v>
      </c>
      <c r="C98" s="14" t="s">
        <v>194</v>
      </c>
      <c r="D98" s="15">
        <v>42260</v>
      </c>
      <c r="E98" s="15">
        <v>46022</v>
      </c>
      <c r="F98" s="1">
        <f t="shared" si="7"/>
        <v>3762</v>
      </c>
      <c r="G98" s="1">
        <f t="shared" si="8"/>
        <v>3648</v>
      </c>
      <c r="H98" s="1">
        <v>114</v>
      </c>
      <c r="I98" s="1">
        <v>0</v>
      </c>
      <c r="J98" s="13">
        <v>32.583333333333314</v>
      </c>
      <c r="K98" s="13">
        <f t="shared" si="9"/>
        <v>304</v>
      </c>
      <c r="L98" s="1">
        <v>241</v>
      </c>
      <c r="M98" s="13">
        <f t="shared" si="10"/>
        <v>63</v>
      </c>
      <c r="N98" s="13">
        <f>SUMIFS('Leave Tracker'!F:F,'Leave Tracker'!A:A,'Annual Leave Balance'!A98,'Leave Tracker'!C:C,"Annual Leave")</f>
        <v>31</v>
      </c>
      <c r="O98" s="13">
        <f t="shared" si="11"/>
        <v>32</v>
      </c>
    </row>
    <row r="99" spans="1:15" hidden="1" x14ac:dyDescent="0.3">
      <c r="A99" s="1">
        <v>1544</v>
      </c>
      <c r="B99" s="14" t="s">
        <v>195</v>
      </c>
      <c r="C99" s="14" t="s">
        <v>68</v>
      </c>
      <c r="D99" s="15">
        <v>42261</v>
      </c>
      <c r="E99" s="15">
        <f t="shared" ref="E99:E129" ca="1" si="13">TODAY()</f>
        <v>46195</v>
      </c>
      <c r="F99" s="1">
        <f t="shared" ca="1" si="7"/>
        <v>3934</v>
      </c>
      <c r="G99" s="1">
        <f t="shared" ca="1" si="8"/>
        <v>3831</v>
      </c>
      <c r="H99" s="1">
        <v>103</v>
      </c>
      <c r="I99" s="1">
        <v>0</v>
      </c>
      <c r="J99" s="13">
        <v>94.416666666666686</v>
      </c>
      <c r="K99" s="13">
        <f t="shared" ca="1" si="9"/>
        <v>319.25</v>
      </c>
      <c r="L99" s="1">
        <v>180</v>
      </c>
      <c r="M99" s="13">
        <f t="shared" ca="1" si="10"/>
        <v>139.25</v>
      </c>
      <c r="N99" s="13">
        <f>SUMIFS('Leave Tracker'!F:F,'Leave Tracker'!A:A,'Annual Leave Balance'!A99,'Leave Tracker'!C:C,"Annual Leave")</f>
        <v>60</v>
      </c>
      <c r="O99" s="13">
        <f t="shared" ca="1" si="11"/>
        <v>79.25</v>
      </c>
    </row>
    <row r="100" spans="1:15" hidden="1" x14ac:dyDescent="0.3">
      <c r="A100" s="1">
        <v>1570</v>
      </c>
      <c r="B100" s="14" t="s">
        <v>196</v>
      </c>
      <c r="C100" s="14" t="s">
        <v>197</v>
      </c>
      <c r="D100" s="15">
        <v>42125</v>
      </c>
      <c r="E100" s="15">
        <f t="shared" ca="1" si="13"/>
        <v>46195</v>
      </c>
      <c r="F100" s="1">
        <f t="shared" ca="1" si="7"/>
        <v>4070</v>
      </c>
      <c r="G100" s="1">
        <f t="shared" ca="1" si="8"/>
        <v>4070</v>
      </c>
      <c r="H100" s="1">
        <v>0</v>
      </c>
      <c r="I100" s="1">
        <v>0</v>
      </c>
      <c r="J100" s="13">
        <v>0</v>
      </c>
      <c r="K100" s="13">
        <f t="shared" ca="1" si="9"/>
        <v>339.16666666666669</v>
      </c>
      <c r="L100" s="1">
        <v>0</v>
      </c>
      <c r="M100" s="13">
        <f t="shared" ca="1" si="10"/>
        <v>339.16666666666669</v>
      </c>
      <c r="N100" s="13">
        <f>SUMIFS('Leave Tracker'!F:F,'Leave Tracker'!A:A,'Annual Leave Balance'!A100,'Leave Tracker'!C:C,"Annual Leave")</f>
        <v>0</v>
      </c>
      <c r="O100" s="13">
        <f t="shared" ca="1" si="11"/>
        <v>339.16666666666669</v>
      </c>
    </row>
    <row r="101" spans="1:15" hidden="1" x14ac:dyDescent="0.3">
      <c r="A101" s="1">
        <v>1605</v>
      </c>
      <c r="B101" s="14" t="s">
        <v>198</v>
      </c>
      <c r="C101" s="14" t="s">
        <v>78</v>
      </c>
      <c r="D101" s="15">
        <v>42439</v>
      </c>
      <c r="E101" s="15">
        <f t="shared" ca="1" si="13"/>
        <v>46195</v>
      </c>
      <c r="F101" s="1">
        <f t="shared" ca="1" si="7"/>
        <v>3756</v>
      </c>
      <c r="G101" s="1">
        <f t="shared" ca="1" si="8"/>
        <v>3722</v>
      </c>
      <c r="H101" s="1">
        <v>16</v>
      </c>
      <c r="I101" s="1">
        <v>18</v>
      </c>
      <c r="J101" s="13">
        <v>55.333333333333371</v>
      </c>
      <c r="K101" s="13">
        <f t="shared" ca="1" si="9"/>
        <v>310.16666666666663</v>
      </c>
      <c r="L101" s="1">
        <v>210</v>
      </c>
      <c r="M101" s="13">
        <f t="shared" ca="1" si="10"/>
        <v>100.16666666666663</v>
      </c>
      <c r="N101" s="13">
        <f>SUMIFS('Leave Tracker'!F:F,'Leave Tracker'!A:A,'Annual Leave Balance'!A101,'Leave Tracker'!C:C,"Annual Leave")</f>
        <v>60</v>
      </c>
      <c r="O101" s="13">
        <f t="shared" ca="1" si="11"/>
        <v>40.166666666666629</v>
      </c>
    </row>
    <row r="102" spans="1:15" hidden="1" x14ac:dyDescent="0.3">
      <c r="A102" s="1">
        <v>1608</v>
      </c>
      <c r="B102" s="14" t="s">
        <v>199</v>
      </c>
      <c r="C102" s="14" t="s">
        <v>200</v>
      </c>
      <c r="D102" s="15">
        <v>42449</v>
      </c>
      <c r="E102" s="15">
        <f t="shared" ca="1" si="13"/>
        <v>46195</v>
      </c>
      <c r="F102" s="1">
        <f t="shared" ca="1" si="7"/>
        <v>3746</v>
      </c>
      <c r="G102" s="1">
        <f t="shared" ca="1" si="8"/>
        <v>3720</v>
      </c>
      <c r="H102" s="1">
        <v>26</v>
      </c>
      <c r="I102" s="1">
        <v>0</v>
      </c>
      <c r="J102" s="13">
        <v>65.166666666666629</v>
      </c>
      <c r="K102" s="13">
        <f t="shared" ca="1" si="9"/>
        <v>310</v>
      </c>
      <c r="L102" s="1">
        <v>200</v>
      </c>
      <c r="M102" s="13">
        <f t="shared" ca="1" si="10"/>
        <v>110</v>
      </c>
      <c r="N102" s="13">
        <f>SUMIFS('Leave Tracker'!F:F,'Leave Tracker'!A:A,'Annual Leave Balance'!A102,'Leave Tracker'!C:C,"Annual Leave")</f>
        <v>13</v>
      </c>
      <c r="O102" s="13">
        <f t="shared" ca="1" si="11"/>
        <v>97</v>
      </c>
    </row>
    <row r="103" spans="1:15" hidden="1" x14ac:dyDescent="0.3">
      <c r="A103" s="1">
        <v>1611</v>
      </c>
      <c r="B103" s="14" t="s">
        <v>201</v>
      </c>
      <c r="C103" s="14" t="s">
        <v>64</v>
      </c>
      <c r="D103" s="15">
        <v>42477</v>
      </c>
      <c r="E103" s="15">
        <f t="shared" ca="1" si="13"/>
        <v>46195</v>
      </c>
      <c r="F103" s="1">
        <f t="shared" ca="1" si="7"/>
        <v>3718</v>
      </c>
      <c r="G103" s="1">
        <f t="shared" ca="1" si="8"/>
        <v>3686</v>
      </c>
      <c r="H103" s="1">
        <v>32</v>
      </c>
      <c r="I103" s="1">
        <v>0</v>
      </c>
      <c r="J103" s="13">
        <v>109.33333333333331</v>
      </c>
      <c r="K103" s="13">
        <f t="shared" ca="1" si="9"/>
        <v>307.16666666666669</v>
      </c>
      <c r="L103" s="1">
        <v>153</v>
      </c>
      <c r="M103" s="13">
        <f t="shared" ca="1" si="10"/>
        <v>154.16666666666669</v>
      </c>
      <c r="N103" s="13">
        <f>SUMIFS('Leave Tracker'!F:F,'Leave Tracker'!A:A,'Annual Leave Balance'!A103,'Leave Tracker'!C:C,"Annual Leave")</f>
        <v>39</v>
      </c>
      <c r="O103" s="13">
        <f t="shared" ca="1" si="11"/>
        <v>115.16666666666669</v>
      </c>
    </row>
    <row r="104" spans="1:15" hidden="1" x14ac:dyDescent="0.3">
      <c r="A104" s="1">
        <v>1617</v>
      </c>
      <c r="B104" s="14" t="s">
        <v>202</v>
      </c>
      <c r="C104" s="14" t="s">
        <v>203</v>
      </c>
      <c r="D104" s="15">
        <v>42519</v>
      </c>
      <c r="E104" s="15">
        <f t="shared" ca="1" si="13"/>
        <v>46195</v>
      </c>
      <c r="F104" s="1">
        <f t="shared" ca="1" si="7"/>
        <v>3676</v>
      </c>
      <c r="G104" s="1">
        <f t="shared" ca="1" si="8"/>
        <v>3645</v>
      </c>
      <c r="H104" s="1">
        <v>31</v>
      </c>
      <c r="I104" s="1">
        <v>0</v>
      </c>
      <c r="J104" s="13">
        <v>45.416666666666686</v>
      </c>
      <c r="K104" s="13">
        <f t="shared" ca="1" si="9"/>
        <v>303.75</v>
      </c>
      <c r="L104" s="1">
        <v>226</v>
      </c>
      <c r="M104" s="13">
        <f t="shared" ca="1" si="10"/>
        <v>77.75</v>
      </c>
      <c r="N104" s="13">
        <f>SUMIFS('Leave Tracker'!F:F,'Leave Tracker'!A:A,'Annual Leave Balance'!A104,'Leave Tracker'!C:C,"Annual Leave")</f>
        <v>18</v>
      </c>
      <c r="O104" s="13">
        <f t="shared" ca="1" si="11"/>
        <v>59.75</v>
      </c>
    </row>
    <row r="105" spans="1:15" hidden="1" x14ac:dyDescent="0.3">
      <c r="A105" s="1">
        <v>1648</v>
      </c>
      <c r="B105" s="14" t="s">
        <v>204</v>
      </c>
      <c r="C105" s="14" t="s">
        <v>205</v>
      </c>
      <c r="D105" s="15">
        <v>42614</v>
      </c>
      <c r="E105" s="15">
        <f t="shared" ca="1" si="13"/>
        <v>46195</v>
      </c>
      <c r="F105" s="1">
        <f t="shared" ca="1" si="7"/>
        <v>3581</v>
      </c>
      <c r="G105" s="1">
        <f t="shared" ca="1" si="8"/>
        <v>3601</v>
      </c>
      <c r="H105" s="1">
        <v>-21</v>
      </c>
      <c r="I105" s="1">
        <v>1</v>
      </c>
      <c r="J105" s="13">
        <v>180.25</v>
      </c>
      <c r="K105" s="13">
        <f t="shared" ca="1" si="9"/>
        <v>300.08333333333337</v>
      </c>
      <c r="L105" s="1">
        <v>75</v>
      </c>
      <c r="M105" s="13">
        <f t="shared" ca="1" si="10"/>
        <v>225.08333333333337</v>
      </c>
      <c r="N105" s="13">
        <f>SUMIFS('Leave Tracker'!F:F,'Leave Tracker'!A:A,'Annual Leave Balance'!A105,'Leave Tracker'!C:C,"Annual Leave")</f>
        <v>0</v>
      </c>
      <c r="O105" s="13">
        <f t="shared" ca="1" si="11"/>
        <v>225.08333333333337</v>
      </c>
    </row>
    <row r="106" spans="1:15" hidden="1" x14ac:dyDescent="0.3">
      <c r="A106" s="1">
        <v>1654</v>
      </c>
      <c r="B106" s="14" t="s">
        <v>206</v>
      </c>
      <c r="C106" s="14" t="s">
        <v>38</v>
      </c>
      <c r="D106" s="15">
        <v>42670</v>
      </c>
      <c r="E106" s="15">
        <f t="shared" ca="1" si="13"/>
        <v>46195</v>
      </c>
      <c r="F106" s="1">
        <f t="shared" ca="1" si="7"/>
        <v>3525</v>
      </c>
      <c r="G106" s="1">
        <f t="shared" ca="1" si="8"/>
        <v>3489</v>
      </c>
      <c r="H106" s="1">
        <v>11</v>
      </c>
      <c r="I106" s="1">
        <v>25</v>
      </c>
      <c r="J106" s="13">
        <v>77.916666666666686</v>
      </c>
      <c r="K106" s="13">
        <f t="shared" ca="1" si="9"/>
        <v>290.75</v>
      </c>
      <c r="L106" s="1">
        <v>168</v>
      </c>
      <c r="M106" s="13">
        <f t="shared" ca="1" si="10"/>
        <v>122.75</v>
      </c>
      <c r="N106" s="13">
        <f>SUMIFS('Leave Tracker'!F:F,'Leave Tracker'!A:A,'Annual Leave Balance'!A106,'Leave Tracker'!C:C,"Annual Leave")</f>
        <v>30</v>
      </c>
      <c r="O106" s="13">
        <f t="shared" ca="1" si="11"/>
        <v>92.75</v>
      </c>
    </row>
    <row r="107" spans="1:15" hidden="1" x14ac:dyDescent="0.3">
      <c r="A107" s="1">
        <v>1693</v>
      </c>
      <c r="B107" s="14" t="s">
        <v>207</v>
      </c>
      <c r="C107" s="14" t="s">
        <v>208</v>
      </c>
      <c r="D107" s="15">
        <v>42694</v>
      </c>
      <c r="E107" s="15">
        <f t="shared" ca="1" si="13"/>
        <v>46195</v>
      </c>
      <c r="F107" s="1">
        <f t="shared" ca="1" si="7"/>
        <v>3501</v>
      </c>
      <c r="G107" s="1">
        <f t="shared" ca="1" si="8"/>
        <v>3488</v>
      </c>
      <c r="H107" s="1">
        <v>13</v>
      </c>
      <c r="I107" s="1">
        <v>0</v>
      </c>
      <c r="J107" s="13">
        <v>98.833333333333343</v>
      </c>
      <c r="K107" s="13">
        <f t="shared" ca="1" si="9"/>
        <v>290.66666666666663</v>
      </c>
      <c r="L107" s="1">
        <v>147</v>
      </c>
      <c r="M107" s="13">
        <f t="shared" ca="1" si="10"/>
        <v>143.66666666666663</v>
      </c>
      <c r="N107" s="13">
        <f>SUMIFS('Leave Tracker'!F:F,'Leave Tracker'!A:A,'Annual Leave Balance'!A107,'Leave Tracker'!C:C,"Annual Leave")</f>
        <v>0</v>
      </c>
      <c r="O107" s="13">
        <f t="shared" ca="1" si="11"/>
        <v>143.66666666666663</v>
      </c>
    </row>
    <row r="108" spans="1:15" hidden="1" x14ac:dyDescent="0.3">
      <c r="A108" s="1">
        <v>1699</v>
      </c>
      <c r="B108" s="14" t="s">
        <v>209</v>
      </c>
      <c r="C108" s="14" t="s">
        <v>210</v>
      </c>
      <c r="D108" s="15">
        <v>42698</v>
      </c>
      <c r="E108" s="15">
        <f t="shared" ca="1" si="13"/>
        <v>46195</v>
      </c>
      <c r="F108" s="1">
        <f t="shared" ca="1" si="7"/>
        <v>3497</v>
      </c>
      <c r="G108" s="1">
        <f t="shared" ca="1" si="8"/>
        <v>3471</v>
      </c>
      <c r="H108" s="1">
        <v>14</v>
      </c>
      <c r="I108" s="1">
        <v>12</v>
      </c>
      <c r="J108" s="13">
        <v>107.41666666666666</v>
      </c>
      <c r="K108" s="13">
        <f t="shared" ca="1" si="9"/>
        <v>289.25</v>
      </c>
      <c r="L108" s="1">
        <v>137</v>
      </c>
      <c r="M108" s="13">
        <f t="shared" ca="1" si="10"/>
        <v>152.25</v>
      </c>
      <c r="N108" s="13">
        <f>SUMIFS('Leave Tracker'!F:F,'Leave Tracker'!A:A,'Annual Leave Balance'!A108,'Leave Tracker'!C:C,"Annual Leave")</f>
        <v>61</v>
      </c>
      <c r="O108" s="13">
        <f t="shared" ca="1" si="11"/>
        <v>91.25</v>
      </c>
    </row>
    <row r="109" spans="1:15" hidden="1" x14ac:dyDescent="0.3">
      <c r="A109" s="1">
        <v>1708</v>
      </c>
      <c r="B109" s="14" t="s">
        <v>211</v>
      </c>
      <c r="C109" s="14" t="s">
        <v>68</v>
      </c>
      <c r="D109" s="15">
        <v>42716</v>
      </c>
      <c r="E109" s="15">
        <f t="shared" ca="1" si="13"/>
        <v>46195</v>
      </c>
      <c r="F109" s="1">
        <f t="shared" ca="1" si="7"/>
        <v>3479</v>
      </c>
      <c r="G109" s="1">
        <f t="shared" ca="1" si="8"/>
        <v>3464</v>
      </c>
      <c r="H109" s="1">
        <v>15</v>
      </c>
      <c r="I109" s="1">
        <v>0</v>
      </c>
      <c r="J109" s="13">
        <v>62.833333333333343</v>
      </c>
      <c r="K109" s="13">
        <f t="shared" ca="1" si="9"/>
        <v>288.66666666666663</v>
      </c>
      <c r="L109" s="1">
        <v>181</v>
      </c>
      <c r="M109" s="13">
        <f t="shared" ca="1" si="10"/>
        <v>107.66666666666663</v>
      </c>
      <c r="N109" s="13">
        <f>SUMIFS('Leave Tracker'!F:F,'Leave Tracker'!A:A,'Annual Leave Balance'!A109,'Leave Tracker'!C:C,"Annual Leave")</f>
        <v>60</v>
      </c>
      <c r="O109" s="13">
        <f t="shared" ca="1" si="11"/>
        <v>47.666666666666629</v>
      </c>
    </row>
    <row r="110" spans="1:15" hidden="1" x14ac:dyDescent="0.3">
      <c r="A110" s="1">
        <v>1730</v>
      </c>
      <c r="B110" s="14" t="s">
        <v>212</v>
      </c>
      <c r="C110" s="14" t="s">
        <v>213</v>
      </c>
      <c r="D110" s="15">
        <v>42767</v>
      </c>
      <c r="E110" s="15">
        <f t="shared" ca="1" si="13"/>
        <v>46195</v>
      </c>
      <c r="F110" s="1">
        <f t="shared" ca="1" si="7"/>
        <v>3428</v>
      </c>
      <c r="G110" s="1">
        <f t="shared" ca="1" si="8"/>
        <v>3428</v>
      </c>
      <c r="H110" s="1">
        <v>0</v>
      </c>
      <c r="I110" s="1">
        <v>0</v>
      </c>
      <c r="J110" s="13">
        <v>0</v>
      </c>
      <c r="K110" s="13">
        <f t="shared" ca="1" si="9"/>
        <v>285.66666666666669</v>
      </c>
      <c r="L110" s="1">
        <v>0</v>
      </c>
      <c r="M110" s="13">
        <f t="shared" ca="1" si="10"/>
        <v>285.66666666666669</v>
      </c>
      <c r="N110" s="13">
        <f>SUMIFS('Leave Tracker'!F:F,'Leave Tracker'!A:A,'Annual Leave Balance'!A110,'Leave Tracker'!C:C,"Annual Leave")</f>
        <v>0</v>
      </c>
      <c r="O110" s="13">
        <f t="shared" ca="1" si="11"/>
        <v>285.66666666666669</v>
      </c>
    </row>
    <row r="111" spans="1:15" hidden="1" x14ac:dyDescent="0.3">
      <c r="A111" s="1">
        <v>1761</v>
      </c>
      <c r="B111" s="14" t="s">
        <v>214</v>
      </c>
      <c r="C111" s="14" t="s">
        <v>186</v>
      </c>
      <c r="D111" s="15">
        <v>42861</v>
      </c>
      <c r="E111" s="15">
        <f t="shared" ca="1" si="13"/>
        <v>46195</v>
      </c>
      <c r="F111" s="1">
        <f t="shared" ca="1" si="7"/>
        <v>3334</v>
      </c>
      <c r="G111" s="1">
        <f t="shared" ca="1" si="8"/>
        <v>3334</v>
      </c>
      <c r="H111" s="1">
        <v>0</v>
      </c>
      <c r="I111" s="1">
        <v>0</v>
      </c>
      <c r="J111" s="13">
        <v>181</v>
      </c>
      <c r="K111" s="13">
        <f t="shared" ca="1" si="9"/>
        <v>277.83333333333331</v>
      </c>
      <c r="L111" s="1">
        <v>52</v>
      </c>
      <c r="M111" s="13">
        <f t="shared" ca="1" si="10"/>
        <v>225.83333333333331</v>
      </c>
      <c r="N111" s="13">
        <f>SUMIFS('Leave Tracker'!F:F,'Leave Tracker'!A:A,'Annual Leave Balance'!A111,'Leave Tracker'!C:C,"Annual Leave")</f>
        <v>15</v>
      </c>
      <c r="O111" s="13">
        <f t="shared" ca="1" si="11"/>
        <v>210.83333333333331</v>
      </c>
    </row>
    <row r="112" spans="1:15" hidden="1" x14ac:dyDescent="0.3">
      <c r="A112" s="1">
        <v>1801</v>
      </c>
      <c r="B112" s="14" t="s">
        <v>215</v>
      </c>
      <c r="C112" s="14" t="s">
        <v>216</v>
      </c>
      <c r="D112" s="15">
        <v>42891</v>
      </c>
      <c r="E112" s="15">
        <f t="shared" ca="1" si="13"/>
        <v>46195</v>
      </c>
      <c r="F112" s="1">
        <f t="shared" ca="1" si="7"/>
        <v>3304</v>
      </c>
      <c r="G112" s="1">
        <f t="shared" ca="1" si="8"/>
        <v>2964</v>
      </c>
      <c r="H112" s="1">
        <v>340</v>
      </c>
      <c r="I112" s="1">
        <v>0</v>
      </c>
      <c r="J112" s="13">
        <v>64.166666666666657</v>
      </c>
      <c r="K112" s="13">
        <f t="shared" ca="1" si="9"/>
        <v>246.99999999999997</v>
      </c>
      <c r="L112" s="1">
        <v>138</v>
      </c>
      <c r="M112" s="13">
        <f t="shared" ca="1" si="10"/>
        <v>108.99999999999997</v>
      </c>
      <c r="N112" s="13">
        <f>SUMIFS('Leave Tracker'!F:F,'Leave Tracker'!A:A,'Annual Leave Balance'!A112,'Leave Tracker'!C:C,"Annual Leave")</f>
        <v>0</v>
      </c>
      <c r="O112" s="13">
        <f t="shared" ca="1" si="11"/>
        <v>108.99999999999997</v>
      </c>
    </row>
    <row r="113" spans="1:15" hidden="1" x14ac:dyDescent="0.3">
      <c r="A113" s="1">
        <v>1806</v>
      </c>
      <c r="B113" s="14" t="s">
        <v>217</v>
      </c>
      <c r="C113" s="14" t="s">
        <v>68</v>
      </c>
      <c r="D113" s="15">
        <v>42919</v>
      </c>
      <c r="E113" s="15">
        <f t="shared" ca="1" si="13"/>
        <v>46195</v>
      </c>
      <c r="F113" s="1">
        <f t="shared" ca="1" si="7"/>
        <v>3276</v>
      </c>
      <c r="G113" s="1">
        <f t="shared" ca="1" si="8"/>
        <v>3129</v>
      </c>
      <c r="H113" s="1">
        <v>147</v>
      </c>
      <c r="I113" s="1">
        <v>0</v>
      </c>
      <c r="J113" s="13">
        <v>-41.083333333333343</v>
      </c>
      <c r="K113" s="13">
        <f t="shared" ca="1" si="9"/>
        <v>260.75</v>
      </c>
      <c r="L113" s="1">
        <v>257</v>
      </c>
      <c r="M113" s="13">
        <f t="shared" ca="1" si="10"/>
        <v>3.75</v>
      </c>
      <c r="N113" s="13">
        <f>SUMIFS('Leave Tracker'!F:F,'Leave Tracker'!A:A,'Annual Leave Balance'!A113,'Leave Tracker'!C:C,"Annual Leave")</f>
        <v>60</v>
      </c>
      <c r="O113" s="13">
        <f t="shared" ca="1" si="11"/>
        <v>-56.25</v>
      </c>
    </row>
    <row r="114" spans="1:15" hidden="1" x14ac:dyDescent="0.3">
      <c r="A114" s="1">
        <v>1856</v>
      </c>
      <c r="B114" s="14" t="s">
        <v>218</v>
      </c>
      <c r="C114" s="14" t="s">
        <v>219</v>
      </c>
      <c r="D114" s="15">
        <v>43009</v>
      </c>
      <c r="E114" s="15">
        <f t="shared" ca="1" si="13"/>
        <v>46195</v>
      </c>
      <c r="F114" s="1">
        <f t="shared" ca="1" si="7"/>
        <v>3186</v>
      </c>
      <c r="G114" s="1">
        <f t="shared" ca="1" si="8"/>
        <v>3119</v>
      </c>
      <c r="H114" s="1">
        <v>45</v>
      </c>
      <c r="I114" s="1">
        <v>22</v>
      </c>
      <c r="J114" s="13">
        <v>21.083333333333314</v>
      </c>
      <c r="K114" s="13">
        <f t="shared" ca="1" si="9"/>
        <v>259.91666666666669</v>
      </c>
      <c r="L114" s="1">
        <v>194</v>
      </c>
      <c r="M114" s="13">
        <f t="shared" ca="1" si="10"/>
        <v>65.916666666666686</v>
      </c>
      <c r="N114" s="13">
        <f>SUMIFS('Leave Tracker'!F:F,'Leave Tracker'!A:A,'Annual Leave Balance'!A114,'Leave Tracker'!C:C,"Annual Leave")</f>
        <v>13</v>
      </c>
      <c r="O114" s="13">
        <f t="shared" ca="1" si="11"/>
        <v>52.916666666666686</v>
      </c>
    </row>
    <row r="115" spans="1:15" hidden="1" x14ac:dyDescent="0.3">
      <c r="A115" s="1">
        <v>1867</v>
      </c>
      <c r="B115" s="14" t="s">
        <v>220</v>
      </c>
      <c r="C115" s="14" t="s">
        <v>68</v>
      </c>
      <c r="D115" s="15">
        <v>43023</v>
      </c>
      <c r="E115" s="15">
        <f t="shared" ca="1" si="13"/>
        <v>46195</v>
      </c>
      <c r="F115" s="1">
        <f t="shared" ca="1" si="7"/>
        <v>3172</v>
      </c>
      <c r="G115" s="1">
        <f t="shared" ca="1" si="8"/>
        <v>2833</v>
      </c>
      <c r="H115" s="1">
        <v>269</v>
      </c>
      <c r="I115" s="1">
        <v>70</v>
      </c>
      <c r="J115" s="13">
        <v>-33.416666666666657</v>
      </c>
      <c r="K115" s="13">
        <f ca="1">G115/360*30</f>
        <v>236.08333333333334</v>
      </c>
      <c r="L115" s="1">
        <v>161</v>
      </c>
      <c r="M115" s="13">
        <f ca="1">K115-L115</f>
        <v>75.083333333333343</v>
      </c>
      <c r="N115" s="13">
        <f>SUMIFS('Leave Tracker'!F:F,'Leave Tracker'!A:A,'Annual Leave Balance'!A115,'Leave Tracker'!C:C,"Annual Leave")</f>
        <v>50</v>
      </c>
      <c r="O115" s="13">
        <f ca="1">M115-N115</f>
        <v>25.083333333333343</v>
      </c>
    </row>
    <row r="116" spans="1:15" hidden="1" x14ac:dyDescent="0.3">
      <c r="A116" s="1">
        <v>1884</v>
      </c>
      <c r="B116" s="14" t="s">
        <v>221</v>
      </c>
      <c r="C116" s="14" t="s">
        <v>222</v>
      </c>
      <c r="D116" s="15">
        <v>43026</v>
      </c>
      <c r="E116" s="15">
        <f t="shared" ca="1" si="13"/>
        <v>46195</v>
      </c>
      <c r="F116" s="1">
        <f t="shared" ca="1" si="7"/>
        <v>3169</v>
      </c>
      <c r="G116" s="1">
        <f t="shared" ca="1" si="8"/>
        <v>3138</v>
      </c>
      <c r="H116" s="1">
        <v>27</v>
      </c>
      <c r="I116" s="1">
        <v>4</v>
      </c>
      <c r="J116" s="13">
        <v>34.666666666666657</v>
      </c>
      <c r="K116" s="13">
        <f t="shared" ca="1" si="9"/>
        <v>261.5</v>
      </c>
      <c r="L116" s="1">
        <v>182</v>
      </c>
      <c r="M116" s="13">
        <f t="shared" ca="1" si="10"/>
        <v>79.5</v>
      </c>
      <c r="N116" s="13">
        <f>SUMIFS('Leave Tracker'!F:F,'Leave Tracker'!A:A,'Annual Leave Balance'!A116,'Leave Tracker'!C:C,"Annual Leave")</f>
        <v>8</v>
      </c>
      <c r="O116" s="13">
        <f t="shared" ca="1" si="11"/>
        <v>71.5</v>
      </c>
    </row>
    <row r="117" spans="1:15" hidden="1" x14ac:dyDescent="0.3">
      <c r="A117" s="1">
        <v>2688</v>
      </c>
      <c r="B117" s="14" t="s">
        <v>596</v>
      </c>
      <c r="C117" s="4" t="s">
        <v>597</v>
      </c>
      <c r="D117" s="15">
        <v>45749</v>
      </c>
      <c r="E117" s="15">
        <f t="shared" ca="1" si="13"/>
        <v>46195</v>
      </c>
      <c r="F117" s="1">
        <f t="shared" ca="1" si="7"/>
        <v>446</v>
      </c>
      <c r="G117" s="1">
        <f t="shared" ca="1" si="8"/>
        <v>446</v>
      </c>
      <c r="H117" s="1">
        <v>0</v>
      </c>
      <c r="I117" s="1">
        <v>0</v>
      </c>
      <c r="J117" s="13">
        <v>34.666666666666657</v>
      </c>
      <c r="K117" s="13">
        <f t="shared" ca="1" si="9"/>
        <v>37.166666666666671</v>
      </c>
      <c r="L117" s="1">
        <v>0</v>
      </c>
      <c r="M117" s="13">
        <f t="shared" ca="1" si="10"/>
        <v>37.166666666666671</v>
      </c>
      <c r="N117" s="13">
        <f>SUMIFS('Leave Tracker'!F:F,'Leave Tracker'!A:A,'Annual Leave Balance'!A117,'Leave Tracker'!C:C,"Annual Leave")</f>
        <v>0</v>
      </c>
      <c r="O117" s="13">
        <f t="shared" ca="1" si="11"/>
        <v>37.166666666666671</v>
      </c>
    </row>
    <row r="118" spans="1:15" hidden="1" x14ac:dyDescent="0.3">
      <c r="A118" s="1">
        <v>1901</v>
      </c>
      <c r="B118" s="14" t="s">
        <v>223</v>
      </c>
      <c r="C118" s="14" t="s">
        <v>68</v>
      </c>
      <c r="D118" s="15">
        <v>43034</v>
      </c>
      <c r="E118" s="15">
        <f t="shared" ca="1" si="13"/>
        <v>46195</v>
      </c>
      <c r="F118" s="1">
        <f t="shared" ca="1" si="7"/>
        <v>3161</v>
      </c>
      <c r="G118" s="1">
        <f t="shared" ca="1" si="8"/>
        <v>3107</v>
      </c>
      <c r="H118" s="1">
        <v>54</v>
      </c>
      <c r="I118" s="1">
        <v>0</v>
      </c>
      <c r="J118" s="13">
        <v>34.083333333333343</v>
      </c>
      <c r="K118" s="13">
        <f t="shared" ca="1" si="9"/>
        <v>258.91666666666669</v>
      </c>
      <c r="L118" s="1">
        <v>180</v>
      </c>
      <c r="M118" s="13">
        <f t="shared" ca="1" si="10"/>
        <v>78.916666666666686</v>
      </c>
      <c r="N118" s="13">
        <f>SUMIFS('Leave Tracker'!F:F,'Leave Tracker'!A:A,'Annual Leave Balance'!A118,'Leave Tracker'!C:C,"Annual Leave")</f>
        <v>0</v>
      </c>
      <c r="O118" s="13">
        <f t="shared" ca="1" si="11"/>
        <v>78.916666666666686</v>
      </c>
    </row>
    <row r="119" spans="1:15" hidden="1" x14ac:dyDescent="0.3">
      <c r="A119" s="1">
        <v>1944</v>
      </c>
      <c r="B119" s="14" t="s">
        <v>224</v>
      </c>
      <c r="C119" s="14" t="s">
        <v>225</v>
      </c>
      <c r="D119" s="15">
        <v>43046</v>
      </c>
      <c r="E119" s="15">
        <f t="shared" ca="1" si="13"/>
        <v>46195</v>
      </c>
      <c r="F119" s="1">
        <f t="shared" ca="1" si="7"/>
        <v>3149</v>
      </c>
      <c r="G119" s="1">
        <f t="shared" ca="1" si="8"/>
        <v>3057</v>
      </c>
      <c r="H119" s="1">
        <v>12</v>
      </c>
      <c r="I119" s="1">
        <v>80</v>
      </c>
      <c r="J119" s="13">
        <v>149.91666666666666</v>
      </c>
      <c r="K119" s="13">
        <f t="shared" ca="1" si="9"/>
        <v>254.75</v>
      </c>
      <c r="L119" s="1">
        <v>60</v>
      </c>
      <c r="M119" s="13">
        <f t="shared" ca="1" si="10"/>
        <v>194.75</v>
      </c>
      <c r="N119" s="13">
        <f>SUMIFS('Leave Tracker'!F:F,'Leave Tracker'!A:A,'Annual Leave Balance'!A119,'Leave Tracker'!C:C,"Annual Leave")</f>
        <v>62</v>
      </c>
      <c r="O119" s="13">
        <f t="shared" ca="1" si="11"/>
        <v>132.75</v>
      </c>
    </row>
    <row r="120" spans="1:15" hidden="1" x14ac:dyDescent="0.3">
      <c r="A120" s="1">
        <v>2014</v>
      </c>
      <c r="B120" s="14" t="s">
        <v>226</v>
      </c>
      <c r="C120" s="14" t="s">
        <v>36</v>
      </c>
      <c r="D120" s="15">
        <v>43093</v>
      </c>
      <c r="E120" s="15">
        <f t="shared" ca="1" si="13"/>
        <v>46195</v>
      </c>
      <c r="F120" s="1">
        <f t="shared" ca="1" si="7"/>
        <v>3102</v>
      </c>
      <c r="G120" s="1">
        <f t="shared" ca="1" si="8"/>
        <v>2690</v>
      </c>
      <c r="H120" s="1">
        <v>412</v>
      </c>
      <c r="I120" s="1">
        <v>0</v>
      </c>
      <c r="J120" s="13">
        <v>26.333333333333343</v>
      </c>
      <c r="K120" s="13">
        <f t="shared" ca="1" si="9"/>
        <v>224.16666666666666</v>
      </c>
      <c r="L120" s="1">
        <v>153</v>
      </c>
      <c r="M120" s="13">
        <f t="shared" ca="1" si="10"/>
        <v>71.166666666666657</v>
      </c>
      <c r="N120" s="13">
        <f>SUMIFS('Leave Tracker'!F:F,'Leave Tracker'!A:A,'Annual Leave Balance'!A120,'Leave Tracker'!C:C,"Annual Leave")</f>
        <v>0</v>
      </c>
      <c r="O120" s="13">
        <f t="shared" ca="1" si="11"/>
        <v>71.166666666666657</v>
      </c>
    </row>
    <row r="121" spans="1:15" hidden="1" x14ac:dyDescent="0.3">
      <c r="A121" s="1">
        <v>2027</v>
      </c>
      <c r="B121" s="14" t="s">
        <v>227</v>
      </c>
      <c r="C121" s="14" t="s">
        <v>228</v>
      </c>
      <c r="D121" s="15">
        <v>43094</v>
      </c>
      <c r="E121" s="15">
        <f t="shared" ca="1" si="13"/>
        <v>46195</v>
      </c>
      <c r="F121" s="1">
        <f t="shared" ca="1" si="7"/>
        <v>3101</v>
      </c>
      <c r="G121" s="1">
        <f t="shared" ca="1" si="8"/>
        <v>3076</v>
      </c>
      <c r="H121" s="1">
        <v>25</v>
      </c>
      <c r="I121" s="1">
        <v>0</v>
      </c>
      <c r="J121" s="13">
        <v>35.5</v>
      </c>
      <c r="K121" s="13">
        <f t="shared" ca="1" si="9"/>
        <v>256.33333333333331</v>
      </c>
      <c r="L121" s="1">
        <v>176</v>
      </c>
      <c r="M121" s="13">
        <f t="shared" ca="1" si="10"/>
        <v>80.333333333333314</v>
      </c>
      <c r="N121" s="13">
        <f>SUMIFS('Leave Tracker'!F:F,'Leave Tracker'!A:A,'Annual Leave Balance'!A121,'Leave Tracker'!C:C,"Annual Leave")</f>
        <v>37</v>
      </c>
      <c r="O121" s="13">
        <f t="shared" ca="1" si="11"/>
        <v>43.333333333333314</v>
      </c>
    </row>
    <row r="122" spans="1:15" hidden="1" x14ac:dyDescent="0.3">
      <c r="A122" s="1">
        <v>2078</v>
      </c>
      <c r="B122" s="14" t="s">
        <v>229</v>
      </c>
      <c r="C122" s="14" t="s">
        <v>230</v>
      </c>
      <c r="D122" s="15">
        <v>43140</v>
      </c>
      <c r="E122" s="15">
        <f t="shared" ca="1" si="13"/>
        <v>46195</v>
      </c>
      <c r="F122" s="1">
        <f t="shared" ca="1" si="7"/>
        <v>3055</v>
      </c>
      <c r="G122" s="1">
        <f t="shared" ca="1" si="8"/>
        <v>3045</v>
      </c>
      <c r="H122" s="1">
        <v>10</v>
      </c>
      <c r="I122" s="1">
        <v>0</v>
      </c>
      <c r="J122" s="13">
        <v>125.91666666666666</v>
      </c>
      <c r="K122" s="13">
        <f t="shared" ca="1" si="9"/>
        <v>253.75000000000003</v>
      </c>
      <c r="L122" s="1">
        <v>83</v>
      </c>
      <c r="M122" s="13">
        <f t="shared" ca="1" si="10"/>
        <v>170.75000000000003</v>
      </c>
      <c r="N122" s="13">
        <f>SUMIFS('Leave Tracker'!F:F,'Leave Tracker'!A:A,'Annual Leave Balance'!A122,'Leave Tracker'!C:C,"Annual Leave")</f>
        <v>40</v>
      </c>
      <c r="O122" s="13">
        <f t="shared" ca="1" si="11"/>
        <v>130.75000000000003</v>
      </c>
    </row>
    <row r="123" spans="1:15" hidden="1" x14ac:dyDescent="0.3">
      <c r="A123" s="1">
        <v>2120</v>
      </c>
      <c r="B123" s="14" t="s">
        <v>231</v>
      </c>
      <c r="C123" s="14" t="s">
        <v>179</v>
      </c>
      <c r="D123" s="15">
        <v>43206</v>
      </c>
      <c r="E123" s="15">
        <f t="shared" ca="1" si="13"/>
        <v>46195</v>
      </c>
      <c r="F123" s="1">
        <f t="shared" ca="1" si="7"/>
        <v>2989</v>
      </c>
      <c r="G123" s="1">
        <f t="shared" ca="1" si="8"/>
        <v>2978</v>
      </c>
      <c r="H123" s="1">
        <v>11</v>
      </c>
      <c r="I123" s="1">
        <v>0</v>
      </c>
      <c r="J123" s="13">
        <v>22.333333333333343</v>
      </c>
      <c r="K123" s="13">
        <f t="shared" ca="1" si="9"/>
        <v>248.16666666666666</v>
      </c>
      <c r="L123" s="1">
        <v>181</v>
      </c>
      <c r="M123" s="13">
        <f t="shared" ca="1" si="10"/>
        <v>67.166666666666657</v>
      </c>
      <c r="N123" s="13">
        <v>10</v>
      </c>
      <c r="O123" s="13">
        <f t="shared" ca="1" si="11"/>
        <v>57.166666666666657</v>
      </c>
    </row>
    <row r="124" spans="1:15" hidden="1" x14ac:dyDescent="0.3">
      <c r="A124" s="1">
        <v>2135</v>
      </c>
      <c r="B124" s="14" t="s">
        <v>232</v>
      </c>
      <c r="C124" s="14" t="s">
        <v>233</v>
      </c>
      <c r="D124" s="15">
        <v>44049</v>
      </c>
      <c r="E124" s="15">
        <f t="shared" ca="1" si="13"/>
        <v>46195</v>
      </c>
      <c r="F124" s="1">
        <f t="shared" ca="1" si="7"/>
        <v>2146</v>
      </c>
      <c r="G124" s="1">
        <f t="shared" ca="1" si="8"/>
        <v>2097</v>
      </c>
      <c r="H124" s="1">
        <v>49</v>
      </c>
      <c r="I124" s="1">
        <v>0</v>
      </c>
      <c r="J124" s="13">
        <v>7.9166666666666856</v>
      </c>
      <c r="K124" s="13">
        <f t="shared" ca="1" si="9"/>
        <v>174.75</v>
      </c>
      <c r="L124" s="1">
        <v>122</v>
      </c>
      <c r="M124" s="13">
        <f t="shared" ca="1" si="10"/>
        <v>52.75</v>
      </c>
      <c r="N124" s="13">
        <f>SUMIFS('Leave Tracker'!F:F,'Leave Tracker'!A:A,'Annual Leave Balance'!A124,'Leave Tracker'!C:C,"Annual Leave")</f>
        <v>0</v>
      </c>
      <c r="O124" s="13">
        <f t="shared" ca="1" si="11"/>
        <v>52.75</v>
      </c>
    </row>
    <row r="125" spans="1:15" hidden="1" x14ac:dyDescent="0.3">
      <c r="A125" s="1">
        <v>2173</v>
      </c>
      <c r="B125" s="14" t="s">
        <v>234</v>
      </c>
      <c r="C125" s="14" t="s">
        <v>235</v>
      </c>
      <c r="D125" s="15">
        <v>43241</v>
      </c>
      <c r="E125" s="15">
        <f t="shared" ca="1" si="13"/>
        <v>46195</v>
      </c>
      <c r="F125" s="1">
        <f t="shared" ca="1" si="7"/>
        <v>2954</v>
      </c>
      <c r="G125" s="1">
        <f t="shared" ca="1" si="8"/>
        <v>2927</v>
      </c>
      <c r="H125" s="1">
        <v>27</v>
      </c>
      <c r="I125" s="1">
        <v>0</v>
      </c>
      <c r="J125" s="13">
        <v>56.083333333333343</v>
      </c>
      <c r="K125" s="13">
        <f t="shared" ca="1" si="9"/>
        <v>243.91666666666669</v>
      </c>
      <c r="L125" s="1">
        <v>143</v>
      </c>
      <c r="M125" s="13">
        <f t="shared" ca="1" si="10"/>
        <v>100.91666666666669</v>
      </c>
      <c r="N125" s="13">
        <f>SUMIFS('Leave Tracker'!F:F,'Leave Tracker'!A:A,'Annual Leave Balance'!A125,'Leave Tracker'!C:C,"Annual Leave")</f>
        <v>0</v>
      </c>
      <c r="O125" s="13">
        <f t="shared" ca="1" si="11"/>
        <v>100.91666666666669</v>
      </c>
    </row>
    <row r="126" spans="1:15" hidden="1" x14ac:dyDescent="0.3">
      <c r="A126" s="1">
        <v>2228</v>
      </c>
      <c r="B126" s="14" t="s">
        <v>236</v>
      </c>
      <c r="C126" s="14" t="s">
        <v>78</v>
      </c>
      <c r="D126" s="15">
        <v>43304</v>
      </c>
      <c r="E126" s="15">
        <f t="shared" ca="1" si="13"/>
        <v>46195</v>
      </c>
      <c r="F126" s="1">
        <f t="shared" ca="1" si="7"/>
        <v>2891</v>
      </c>
      <c r="G126" s="1">
        <f t="shared" ca="1" si="8"/>
        <v>2861</v>
      </c>
      <c r="H126" s="1">
        <v>30</v>
      </c>
      <c r="I126" s="1">
        <v>0</v>
      </c>
      <c r="J126" s="13">
        <v>15.666666666666657</v>
      </c>
      <c r="K126" s="13">
        <f t="shared" ca="1" si="9"/>
        <v>238.41666666666666</v>
      </c>
      <c r="L126" s="1">
        <v>180</v>
      </c>
      <c r="M126" s="13">
        <f t="shared" ca="1" si="10"/>
        <v>58.416666666666657</v>
      </c>
      <c r="N126" s="13">
        <f>SUMIFS('Leave Tracker'!F:F,'Leave Tracker'!A:A,'Annual Leave Balance'!A126,'Leave Tracker'!C:C,"Annual Leave")</f>
        <v>0</v>
      </c>
      <c r="O126" s="13">
        <f t="shared" ca="1" si="11"/>
        <v>58.416666666666657</v>
      </c>
    </row>
    <row r="127" spans="1:15" hidden="1" x14ac:dyDescent="0.3">
      <c r="A127" s="1">
        <v>2231</v>
      </c>
      <c r="B127" s="14" t="s">
        <v>237</v>
      </c>
      <c r="C127" s="14" t="s">
        <v>238</v>
      </c>
      <c r="D127" s="15">
        <v>43313</v>
      </c>
      <c r="E127" s="15">
        <f t="shared" ca="1" si="13"/>
        <v>46195</v>
      </c>
      <c r="F127" s="1">
        <f t="shared" ca="1" si="7"/>
        <v>2882</v>
      </c>
      <c r="G127" s="1">
        <f t="shared" ca="1" si="8"/>
        <v>2880</v>
      </c>
      <c r="H127" s="1">
        <v>2</v>
      </c>
      <c r="I127" s="1">
        <v>0</v>
      </c>
      <c r="J127" s="13">
        <v>65.166666666666657</v>
      </c>
      <c r="K127" s="13">
        <f t="shared" ca="1" si="9"/>
        <v>240</v>
      </c>
      <c r="L127" s="1">
        <v>130</v>
      </c>
      <c r="M127" s="13">
        <f t="shared" ca="1" si="10"/>
        <v>110</v>
      </c>
      <c r="N127" s="13">
        <f>SUMIFS('Leave Tracker'!F:F,'Leave Tracker'!A:A,'Annual Leave Balance'!A127,'Leave Tracker'!C:C,"Annual Leave")</f>
        <v>19</v>
      </c>
      <c r="O127" s="13">
        <f t="shared" ca="1" si="11"/>
        <v>91</v>
      </c>
    </row>
    <row r="128" spans="1:15" hidden="1" x14ac:dyDescent="0.3">
      <c r="A128" s="1">
        <v>2240</v>
      </c>
      <c r="B128" s="14" t="s">
        <v>239</v>
      </c>
      <c r="C128" s="14" t="s">
        <v>240</v>
      </c>
      <c r="D128" s="15">
        <v>43312</v>
      </c>
      <c r="E128" s="15">
        <v>46127</v>
      </c>
      <c r="F128" s="1">
        <f t="shared" si="7"/>
        <v>2815</v>
      </c>
      <c r="G128" s="1">
        <f t="shared" si="8"/>
        <v>2693</v>
      </c>
      <c r="H128" s="1">
        <v>122</v>
      </c>
      <c r="I128" s="1">
        <v>0</v>
      </c>
      <c r="J128" s="13">
        <v>75.916666666666686</v>
      </c>
      <c r="K128" s="13">
        <f t="shared" si="9"/>
        <v>224.41666666666666</v>
      </c>
      <c r="L128" s="1">
        <v>127</v>
      </c>
      <c r="M128" s="13">
        <f t="shared" si="10"/>
        <v>97.416666666666657</v>
      </c>
      <c r="N128" s="13">
        <v>64</v>
      </c>
      <c r="O128" s="13">
        <f t="shared" si="11"/>
        <v>33.416666666666657</v>
      </c>
    </row>
    <row r="129" spans="1:15" hidden="1" x14ac:dyDescent="0.3">
      <c r="A129" s="1">
        <v>2243</v>
      </c>
      <c r="B129" s="14" t="s">
        <v>241</v>
      </c>
      <c r="C129" s="14" t="s">
        <v>68</v>
      </c>
      <c r="D129" s="15">
        <v>43319</v>
      </c>
      <c r="E129" s="15">
        <f t="shared" ca="1" si="13"/>
        <v>46195</v>
      </c>
      <c r="F129" s="1">
        <f t="shared" ca="1" si="7"/>
        <v>2876</v>
      </c>
      <c r="G129" s="1">
        <f t="shared" ca="1" si="8"/>
        <v>2801</v>
      </c>
      <c r="H129" s="1">
        <v>75</v>
      </c>
      <c r="I129" s="1">
        <v>0</v>
      </c>
      <c r="J129" s="13">
        <v>6.5833333333333428</v>
      </c>
      <c r="K129" s="13">
        <f t="shared" ca="1" si="9"/>
        <v>233.41666666666669</v>
      </c>
      <c r="L129" s="1">
        <v>182</v>
      </c>
      <c r="M129" s="13">
        <f t="shared" ca="1" si="10"/>
        <v>51.416666666666686</v>
      </c>
      <c r="N129" s="13">
        <f>SUMIFS('Leave Tracker'!F:F,'Leave Tracker'!A:A,'Annual Leave Balance'!A129,'Leave Tracker'!C:C,"Annual Leave")</f>
        <v>50</v>
      </c>
      <c r="O129" s="13">
        <f t="shared" ca="1" si="11"/>
        <v>1.4166666666666856</v>
      </c>
    </row>
    <row r="130" spans="1:15" hidden="1" x14ac:dyDescent="0.3">
      <c r="A130" s="1">
        <v>2247</v>
      </c>
      <c r="B130" s="14" t="s">
        <v>242</v>
      </c>
      <c r="C130" s="14" t="s">
        <v>46</v>
      </c>
      <c r="D130" s="15">
        <v>43326</v>
      </c>
      <c r="E130" s="15">
        <f t="shared" ref="E130:E161" ca="1" si="14">TODAY()</f>
        <v>46195</v>
      </c>
      <c r="F130" s="1">
        <f t="shared" ref="F130:F193" ca="1" si="15">E130-D130</f>
        <v>2869</v>
      </c>
      <c r="G130" s="1">
        <f t="shared" ref="G130:G193" ca="1" si="16">F130-(H130+I130)</f>
        <v>2756</v>
      </c>
      <c r="H130" s="1">
        <v>113</v>
      </c>
      <c r="I130" s="1">
        <v>0</v>
      </c>
      <c r="J130" s="13">
        <v>64.833333333333343</v>
      </c>
      <c r="K130" s="13">
        <f t="shared" ref="K130:K193" ca="1" si="17">G130/360*30</f>
        <v>229.66666666666669</v>
      </c>
      <c r="L130" s="1">
        <v>120</v>
      </c>
      <c r="M130" s="13">
        <f t="shared" ref="M130:M193" ca="1" si="18">K130-L130</f>
        <v>109.66666666666669</v>
      </c>
      <c r="N130" s="13">
        <f>SUMIFS('Leave Tracker'!F:F,'Leave Tracker'!A:A,'Annual Leave Balance'!A130,'Leave Tracker'!C:C,"Annual Leave")</f>
        <v>61</v>
      </c>
      <c r="O130" s="13">
        <f t="shared" ref="O130:O193" ca="1" si="19">M130-N130</f>
        <v>48.666666666666686</v>
      </c>
    </row>
    <row r="131" spans="1:15" hidden="1" x14ac:dyDescent="0.3">
      <c r="A131" s="1">
        <v>2286</v>
      </c>
      <c r="B131" s="14" t="s">
        <v>243</v>
      </c>
      <c r="C131" s="14" t="s">
        <v>244</v>
      </c>
      <c r="D131" s="15">
        <v>43479</v>
      </c>
      <c r="E131" s="15">
        <f t="shared" ca="1" si="14"/>
        <v>46195</v>
      </c>
      <c r="F131" s="1">
        <f t="shared" ca="1" si="15"/>
        <v>2716</v>
      </c>
      <c r="G131" s="1">
        <f t="shared" ca="1" si="16"/>
        <v>2612</v>
      </c>
      <c r="H131" s="1">
        <v>104</v>
      </c>
      <c r="I131" s="1">
        <v>0</v>
      </c>
      <c r="J131" s="13">
        <v>-8.1666666666666572</v>
      </c>
      <c r="K131" s="13">
        <f t="shared" ca="1" si="17"/>
        <v>217.66666666666666</v>
      </c>
      <c r="L131" s="1">
        <v>181</v>
      </c>
      <c r="M131" s="13">
        <f t="shared" ca="1" si="18"/>
        <v>36.666666666666657</v>
      </c>
      <c r="N131" s="13">
        <f>SUMIFS('Leave Tracker'!F:F,'Leave Tracker'!A:A,'Annual Leave Balance'!A131,'Leave Tracker'!C:C,"Annual Leave")</f>
        <v>0</v>
      </c>
      <c r="O131" s="13">
        <f t="shared" ca="1" si="19"/>
        <v>36.666666666666657</v>
      </c>
    </row>
    <row r="132" spans="1:15" hidden="1" x14ac:dyDescent="0.3">
      <c r="A132" s="1">
        <v>2314</v>
      </c>
      <c r="B132" s="14" t="s">
        <v>245</v>
      </c>
      <c r="C132" s="14" t="s">
        <v>68</v>
      </c>
      <c r="D132" s="15">
        <v>43752</v>
      </c>
      <c r="E132" s="15">
        <f t="shared" ca="1" si="14"/>
        <v>46195</v>
      </c>
      <c r="F132" s="1">
        <f t="shared" ca="1" si="15"/>
        <v>2443</v>
      </c>
      <c r="G132" s="1">
        <f t="shared" ca="1" si="16"/>
        <v>2424</v>
      </c>
      <c r="H132" s="1">
        <v>19</v>
      </c>
      <c r="I132" s="1">
        <v>0</v>
      </c>
      <c r="J132" s="13">
        <v>35.166666666666657</v>
      </c>
      <c r="K132" s="13">
        <f t="shared" ca="1" si="17"/>
        <v>202</v>
      </c>
      <c r="L132" s="1">
        <v>122</v>
      </c>
      <c r="M132" s="13">
        <f t="shared" ca="1" si="18"/>
        <v>80</v>
      </c>
      <c r="N132" s="13">
        <f>SUMIFS('Leave Tracker'!F:F,'Leave Tracker'!A:A,'Annual Leave Balance'!A132,'Leave Tracker'!C:C,"Annual Leave")</f>
        <v>0</v>
      </c>
      <c r="O132" s="13">
        <f t="shared" ca="1" si="19"/>
        <v>80</v>
      </c>
    </row>
    <row r="133" spans="1:15" hidden="1" x14ac:dyDescent="0.3">
      <c r="A133" s="1">
        <v>2315</v>
      </c>
      <c r="B133" s="14" t="s">
        <v>246</v>
      </c>
      <c r="C133" s="14" t="s">
        <v>68</v>
      </c>
      <c r="D133" s="15">
        <v>43752</v>
      </c>
      <c r="E133" s="15">
        <f t="shared" ca="1" si="14"/>
        <v>46195</v>
      </c>
      <c r="F133" s="1">
        <f t="shared" ca="1" si="15"/>
        <v>2443</v>
      </c>
      <c r="G133" s="1">
        <f t="shared" ca="1" si="16"/>
        <v>2428</v>
      </c>
      <c r="H133" s="1">
        <v>15</v>
      </c>
      <c r="I133" s="1">
        <v>0</v>
      </c>
      <c r="J133" s="13">
        <v>97.5</v>
      </c>
      <c r="K133" s="13">
        <f t="shared" ca="1" si="17"/>
        <v>202.33333333333334</v>
      </c>
      <c r="L133" s="1">
        <v>60</v>
      </c>
      <c r="M133" s="13">
        <f t="shared" ca="1" si="18"/>
        <v>142.33333333333334</v>
      </c>
      <c r="N133" s="13">
        <f>SUMIFS('Leave Tracker'!F:F,'Leave Tracker'!A:A,'Annual Leave Balance'!A133,'Leave Tracker'!C:C,"Annual Leave")</f>
        <v>60</v>
      </c>
      <c r="O133" s="13">
        <f t="shared" ca="1" si="19"/>
        <v>82.333333333333343</v>
      </c>
    </row>
    <row r="134" spans="1:15" hidden="1" x14ac:dyDescent="0.3">
      <c r="A134" s="1">
        <v>2317</v>
      </c>
      <c r="B134" s="14" t="s">
        <v>247</v>
      </c>
      <c r="C134" s="14" t="s">
        <v>68</v>
      </c>
      <c r="D134" s="15">
        <v>43754</v>
      </c>
      <c r="E134" s="15">
        <f t="shared" ca="1" si="14"/>
        <v>46195</v>
      </c>
      <c r="F134" s="1">
        <f t="shared" ca="1" si="15"/>
        <v>2441</v>
      </c>
      <c r="G134" s="1">
        <f t="shared" ca="1" si="16"/>
        <v>2419</v>
      </c>
      <c r="H134" s="1">
        <v>22</v>
      </c>
      <c r="I134" s="1">
        <v>0</v>
      </c>
      <c r="J134" s="13">
        <v>36.75</v>
      </c>
      <c r="K134" s="13">
        <f t="shared" ca="1" si="17"/>
        <v>201.58333333333331</v>
      </c>
      <c r="L134" s="1">
        <v>120</v>
      </c>
      <c r="M134" s="13">
        <f t="shared" ca="1" si="18"/>
        <v>81.583333333333314</v>
      </c>
      <c r="N134" s="13">
        <f>SUMIFS('Leave Tracker'!F:F,'Leave Tracker'!A:A,'Annual Leave Balance'!A134,'Leave Tracker'!C:C,"Annual Leave")</f>
        <v>0</v>
      </c>
      <c r="O134" s="13">
        <f t="shared" ca="1" si="19"/>
        <v>81.583333333333314</v>
      </c>
    </row>
    <row r="135" spans="1:15" hidden="1" x14ac:dyDescent="0.3">
      <c r="A135" s="1">
        <v>2318</v>
      </c>
      <c r="B135" s="14" t="s">
        <v>248</v>
      </c>
      <c r="C135" s="14" t="s">
        <v>151</v>
      </c>
      <c r="D135" s="15">
        <v>43770</v>
      </c>
      <c r="E135" s="15">
        <v>46244</v>
      </c>
      <c r="F135" s="1">
        <f t="shared" si="15"/>
        <v>2474</v>
      </c>
      <c r="G135" s="1">
        <f t="shared" si="16"/>
        <v>2138</v>
      </c>
      <c r="H135" s="1">
        <v>306</v>
      </c>
      <c r="I135" s="1">
        <v>30</v>
      </c>
      <c r="J135" s="13">
        <v>-23.166666666666657</v>
      </c>
      <c r="K135" s="13">
        <f t="shared" si="17"/>
        <v>178.16666666666669</v>
      </c>
      <c r="L135" s="1">
        <v>120</v>
      </c>
      <c r="M135" s="13">
        <f t="shared" si="18"/>
        <v>58.166666666666686</v>
      </c>
      <c r="N135" s="13">
        <f>SUMIFS('Leave Tracker'!F:F,'Leave Tracker'!A:A,'Annual Leave Balance'!A135,'Leave Tracker'!C:C,"Annual Leave")</f>
        <v>0</v>
      </c>
      <c r="O135" s="13">
        <f t="shared" si="19"/>
        <v>58.166666666666686</v>
      </c>
    </row>
    <row r="136" spans="1:15" hidden="1" x14ac:dyDescent="0.3">
      <c r="A136" s="1">
        <v>2329</v>
      </c>
      <c r="B136" s="14" t="s">
        <v>249</v>
      </c>
      <c r="C136" s="14" t="s">
        <v>250</v>
      </c>
      <c r="D136" s="15">
        <v>43792</v>
      </c>
      <c r="E136" s="15">
        <f t="shared" ca="1" si="14"/>
        <v>46195</v>
      </c>
      <c r="F136" s="1">
        <f t="shared" ca="1" si="15"/>
        <v>2403</v>
      </c>
      <c r="G136" s="1">
        <f t="shared" ca="1" si="16"/>
        <v>2380</v>
      </c>
      <c r="H136" s="1">
        <v>23</v>
      </c>
      <c r="I136" s="1">
        <v>0</v>
      </c>
      <c r="J136" s="13">
        <v>84.5</v>
      </c>
      <c r="K136" s="13">
        <f t="shared" ca="1" si="17"/>
        <v>198.33333333333331</v>
      </c>
      <c r="L136" s="1">
        <v>69</v>
      </c>
      <c r="M136" s="13">
        <f t="shared" ca="1" si="18"/>
        <v>129.33333333333331</v>
      </c>
      <c r="N136" s="13">
        <f>SUMIFS('Leave Tracker'!F:F,'Leave Tracker'!A:A,'Annual Leave Balance'!A136,'Leave Tracker'!C:C,"Annual Leave")</f>
        <v>0</v>
      </c>
      <c r="O136" s="13">
        <f t="shared" ca="1" si="19"/>
        <v>129.33333333333331</v>
      </c>
    </row>
    <row r="137" spans="1:15" hidden="1" x14ac:dyDescent="0.3">
      <c r="A137" s="1">
        <v>2330</v>
      </c>
      <c r="B137" s="14" t="s">
        <v>251</v>
      </c>
      <c r="C137" s="14" t="s">
        <v>68</v>
      </c>
      <c r="D137" s="15">
        <v>43843</v>
      </c>
      <c r="E137" s="15">
        <f t="shared" ca="1" si="14"/>
        <v>46195</v>
      </c>
      <c r="F137" s="1">
        <f t="shared" ca="1" si="15"/>
        <v>2352</v>
      </c>
      <c r="G137" s="1">
        <f t="shared" ca="1" si="16"/>
        <v>2338</v>
      </c>
      <c r="H137" s="1">
        <v>14</v>
      </c>
      <c r="I137" s="1">
        <v>0</v>
      </c>
      <c r="J137" s="13">
        <v>90</v>
      </c>
      <c r="K137" s="13">
        <f t="shared" ca="1" si="17"/>
        <v>194.83333333333334</v>
      </c>
      <c r="L137" s="1">
        <v>60</v>
      </c>
      <c r="M137" s="13">
        <f t="shared" ca="1" si="18"/>
        <v>134.83333333333334</v>
      </c>
      <c r="N137" s="13">
        <f>SUMIFS('Leave Tracker'!F:F,'Leave Tracker'!A:A,'Annual Leave Balance'!A137,'Leave Tracker'!C:C,"Annual Leave")</f>
        <v>62</v>
      </c>
      <c r="O137" s="13">
        <f t="shared" ca="1" si="19"/>
        <v>72.833333333333343</v>
      </c>
    </row>
    <row r="138" spans="1:15" hidden="1" x14ac:dyDescent="0.3">
      <c r="A138" s="1">
        <v>2331</v>
      </c>
      <c r="B138" s="14" t="s">
        <v>252</v>
      </c>
      <c r="C138" s="14" t="s">
        <v>68</v>
      </c>
      <c r="D138" s="15">
        <v>43843</v>
      </c>
      <c r="E138" s="15">
        <f t="shared" ca="1" si="14"/>
        <v>46195</v>
      </c>
      <c r="F138" s="1">
        <f t="shared" ca="1" si="15"/>
        <v>2352</v>
      </c>
      <c r="G138" s="1">
        <f t="shared" ca="1" si="16"/>
        <v>2325</v>
      </c>
      <c r="H138" s="1">
        <v>27</v>
      </c>
      <c r="I138" s="1">
        <v>0</v>
      </c>
      <c r="J138" s="13">
        <v>88.916666666666657</v>
      </c>
      <c r="K138" s="13">
        <f t="shared" ca="1" si="17"/>
        <v>193.75</v>
      </c>
      <c r="L138" s="1">
        <v>60</v>
      </c>
      <c r="M138" s="13">
        <f t="shared" ca="1" si="18"/>
        <v>133.75</v>
      </c>
      <c r="N138" s="13">
        <f>SUMIFS('Leave Tracker'!F:F,'Leave Tracker'!A:A,'Annual Leave Balance'!A138,'Leave Tracker'!C:C,"Annual Leave")</f>
        <v>60</v>
      </c>
      <c r="O138" s="13">
        <f t="shared" ca="1" si="19"/>
        <v>73.75</v>
      </c>
    </row>
    <row r="139" spans="1:15" hidden="1" x14ac:dyDescent="0.3">
      <c r="A139" s="1">
        <v>2372</v>
      </c>
      <c r="B139" s="14" t="s">
        <v>253</v>
      </c>
      <c r="C139" s="14" t="s">
        <v>254</v>
      </c>
      <c r="D139" s="15">
        <v>44013</v>
      </c>
      <c r="E139" s="15">
        <f t="shared" ca="1" si="14"/>
        <v>46195</v>
      </c>
      <c r="F139" s="1">
        <f t="shared" ca="1" si="15"/>
        <v>2182</v>
      </c>
      <c r="G139" s="1">
        <f t="shared" ca="1" si="16"/>
        <v>2182</v>
      </c>
      <c r="H139" s="1">
        <v>0</v>
      </c>
      <c r="I139" s="1">
        <v>0</v>
      </c>
      <c r="J139" s="13">
        <v>137</v>
      </c>
      <c r="K139" s="13">
        <f t="shared" ca="1" si="17"/>
        <v>181.83333333333331</v>
      </c>
      <c r="L139" s="1">
        <v>0</v>
      </c>
      <c r="M139" s="13">
        <f t="shared" ca="1" si="18"/>
        <v>181.83333333333331</v>
      </c>
      <c r="N139" s="13">
        <f>SUMIFS('Leave Tracker'!F:F,'Leave Tracker'!A:A,'Annual Leave Balance'!A139,'Leave Tracker'!C:C,"Annual Leave")</f>
        <v>0</v>
      </c>
      <c r="O139" s="13">
        <f t="shared" ca="1" si="19"/>
        <v>181.83333333333331</v>
      </c>
    </row>
    <row r="140" spans="1:15" hidden="1" x14ac:dyDescent="0.3">
      <c r="A140" s="1">
        <v>2381</v>
      </c>
      <c r="B140" s="14" t="s">
        <v>255</v>
      </c>
      <c r="C140" s="14" t="s">
        <v>256</v>
      </c>
      <c r="D140" s="15">
        <v>44072</v>
      </c>
      <c r="E140" s="15">
        <f t="shared" ca="1" si="14"/>
        <v>46195</v>
      </c>
      <c r="F140" s="1">
        <f t="shared" ca="1" si="15"/>
        <v>2123</v>
      </c>
      <c r="G140" s="1">
        <f t="shared" ca="1" si="16"/>
        <v>1983</v>
      </c>
      <c r="H140" s="1">
        <v>80</v>
      </c>
      <c r="I140" s="1">
        <v>60</v>
      </c>
      <c r="J140" s="13">
        <v>120.41666666666669</v>
      </c>
      <c r="K140" s="13">
        <f t="shared" ca="1" si="17"/>
        <v>165.25</v>
      </c>
      <c r="L140" s="1">
        <v>0</v>
      </c>
      <c r="M140" s="13">
        <f t="shared" ca="1" si="18"/>
        <v>165.25</v>
      </c>
      <c r="N140" s="13">
        <f>SUMIFS('Leave Tracker'!F:F,'Leave Tracker'!A:A,'Annual Leave Balance'!A140,'Leave Tracker'!C:C,"Annual Leave")</f>
        <v>61</v>
      </c>
      <c r="O140" s="13">
        <f t="shared" ca="1" si="19"/>
        <v>104.25</v>
      </c>
    </row>
    <row r="141" spans="1:15" hidden="1" x14ac:dyDescent="0.3">
      <c r="A141" s="1">
        <v>2397</v>
      </c>
      <c r="B141" s="14" t="s">
        <v>257</v>
      </c>
      <c r="C141" s="14" t="s">
        <v>40</v>
      </c>
      <c r="D141" s="15">
        <v>44146</v>
      </c>
      <c r="E141" s="15">
        <f t="shared" ca="1" si="14"/>
        <v>46195</v>
      </c>
      <c r="F141" s="1">
        <f t="shared" ca="1" si="15"/>
        <v>2049</v>
      </c>
      <c r="G141" s="1">
        <f t="shared" ca="1" si="16"/>
        <v>2011</v>
      </c>
      <c r="H141" s="1">
        <v>26</v>
      </c>
      <c r="I141" s="1">
        <v>12</v>
      </c>
      <c r="J141" s="13">
        <v>5.75</v>
      </c>
      <c r="K141" s="13">
        <f t="shared" ca="1" si="17"/>
        <v>167.58333333333334</v>
      </c>
      <c r="L141" s="1">
        <v>117</v>
      </c>
      <c r="M141" s="13">
        <f t="shared" ca="1" si="18"/>
        <v>50.583333333333343</v>
      </c>
      <c r="N141" s="13">
        <f>SUMIFS('Leave Tracker'!F:F,'Leave Tracker'!A:A,'Annual Leave Balance'!A141,'Leave Tracker'!C:C,"Annual Leave")</f>
        <v>31</v>
      </c>
      <c r="O141" s="13">
        <f t="shared" ca="1" si="19"/>
        <v>19.583333333333343</v>
      </c>
    </row>
    <row r="142" spans="1:15" hidden="1" x14ac:dyDescent="0.3">
      <c r="A142" s="1">
        <v>2403</v>
      </c>
      <c r="B142" s="14" t="s">
        <v>258</v>
      </c>
      <c r="C142" s="14" t="s">
        <v>58</v>
      </c>
      <c r="D142" s="15">
        <v>44171</v>
      </c>
      <c r="E142" s="15">
        <f t="shared" ca="1" si="14"/>
        <v>46195</v>
      </c>
      <c r="F142" s="1">
        <f t="shared" ca="1" si="15"/>
        <v>2024</v>
      </c>
      <c r="G142" s="1">
        <f t="shared" ca="1" si="16"/>
        <v>2001</v>
      </c>
      <c r="H142" s="1">
        <v>10</v>
      </c>
      <c r="I142" s="1">
        <v>13</v>
      </c>
      <c r="J142" s="13">
        <v>1.9999999999999858</v>
      </c>
      <c r="K142" s="13">
        <f t="shared" ca="1" si="17"/>
        <v>166.75</v>
      </c>
      <c r="L142" s="1">
        <v>121</v>
      </c>
      <c r="M142" s="13">
        <f t="shared" ca="1" si="18"/>
        <v>45.75</v>
      </c>
      <c r="N142" s="13">
        <f>SUMIFS('Leave Tracker'!F:F,'Leave Tracker'!A:A,'Annual Leave Balance'!A142,'Leave Tracker'!C:C,"Annual Leave")</f>
        <v>0</v>
      </c>
      <c r="O142" s="13">
        <f t="shared" ca="1" si="19"/>
        <v>45.75</v>
      </c>
    </row>
    <row r="143" spans="1:15" hidden="1" x14ac:dyDescent="0.3">
      <c r="A143" s="1">
        <v>2406</v>
      </c>
      <c r="B143" s="14" t="s">
        <v>259</v>
      </c>
      <c r="C143" s="14" t="s">
        <v>260</v>
      </c>
      <c r="D143" s="15">
        <v>44178</v>
      </c>
      <c r="E143" s="15">
        <f t="shared" ca="1" si="14"/>
        <v>46195</v>
      </c>
      <c r="F143" s="1">
        <f t="shared" ca="1" si="15"/>
        <v>2017</v>
      </c>
      <c r="G143" s="1">
        <f t="shared" ca="1" si="16"/>
        <v>2013</v>
      </c>
      <c r="H143" s="1">
        <v>4</v>
      </c>
      <c r="I143" s="1">
        <v>0</v>
      </c>
      <c r="J143" s="13">
        <v>53.916666666666671</v>
      </c>
      <c r="K143" s="13">
        <f t="shared" ca="1" si="17"/>
        <v>167.75</v>
      </c>
      <c r="L143" s="1">
        <v>69</v>
      </c>
      <c r="M143" s="13">
        <f t="shared" ca="1" si="18"/>
        <v>98.75</v>
      </c>
      <c r="N143" s="13">
        <f>SUMIFS('Leave Tracker'!F:F,'Leave Tracker'!A:A,'Annual Leave Balance'!A143,'Leave Tracker'!C:C,"Annual Leave")</f>
        <v>34</v>
      </c>
      <c r="O143" s="13">
        <f t="shared" ca="1" si="19"/>
        <v>64.75</v>
      </c>
    </row>
    <row r="144" spans="1:15" hidden="1" x14ac:dyDescent="0.3">
      <c r="A144" s="1">
        <v>2407</v>
      </c>
      <c r="B144" s="14" t="s">
        <v>261</v>
      </c>
      <c r="C144" s="14" t="s">
        <v>262</v>
      </c>
      <c r="D144" s="15">
        <v>44181</v>
      </c>
      <c r="E144" s="15">
        <f t="shared" ca="1" si="14"/>
        <v>46195</v>
      </c>
      <c r="F144" s="1">
        <f t="shared" ca="1" si="15"/>
        <v>2014</v>
      </c>
      <c r="G144" s="1">
        <f t="shared" ca="1" si="16"/>
        <v>1852</v>
      </c>
      <c r="H144" s="1">
        <v>162</v>
      </c>
      <c r="I144" s="1">
        <v>0</v>
      </c>
      <c r="J144" s="13">
        <v>11.5</v>
      </c>
      <c r="K144" s="13">
        <f t="shared" ca="1" si="17"/>
        <v>154.33333333333334</v>
      </c>
      <c r="L144" s="1">
        <v>98</v>
      </c>
      <c r="M144" s="13">
        <f t="shared" ca="1" si="18"/>
        <v>56.333333333333343</v>
      </c>
      <c r="N144" s="13">
        <f>SUMIFS('Leave Tracker'!F:F,'Leave Tracker'!A:A,'Annual Leave Balance'!A144,'Leave Tracker'!C:C,"Annual Leave")</f>
        <v>30</v>
      </c>
      <c r="O144" s="13">
        <f t="shared" ca="1" si="19"/>
        <v>26.333333333333343</v>
      </c>
    </row>
    <row r="145" spans="1:15" hidden="1" x14ac:dyDescent="0.3">
      <c r="A145" s="1">
        <v>2409</v>
      </c>
      <c r="B145" s="14" t="s">
        <v>263</v>
      </c>
      <c r="C145" s="14" t="s">
        <v>68</v>
      </c>
      <c r="D145" s="15">
        <v>44187</v>
      </c>
      <c r="E145" s="15">
        <f t="shared" ca="1" si="14"/>
        <v>46195</v>
      </c>
      <c r="F145" s="1">
        <f t="shared" ca="1" si="15"/>
        <v>2008</v>
      </c>
      <c r="G145" s="1">
        <f t="shared" ca="1" si="16"/>
        <v>2001</v>
      </c>
      <c r="H145" s="1">
        <v>7</v>
      </c>
      <c r="I145" s="1">
        <v>0</v>
      </c>
      <c r="J145" s="13">
        <v>60.916666666666671</v>
      </c>
      <c r="K145" s="13">
        <f t="shared" ca="1" si="17"/>
        <v>166.75</v>
      </c>
      <c r="L145" s="1">
        <v>61</v>
      </c>
      <c r="M145" s="13">
        <f t="shared" ca="1" si="18"/>
        <v>105.75</v>
      </c>
      <c r="N145" s="13">
        <f>SUMIFS('Leave Tracker'!F:F,'Leave Tracker'!A:A,'Annual Leave Balance'!A145,'Leave Tracker'!C:C,"Annual Leave")</f>
        <v>0</v>
      </c>
      <c r="O145" s="13">
        <f t="shared" ca="1" si="19"/>
        <v>105.75</v>
      </c>
    </row>
    <row r="146" spans="1:15" hidden="1" x14ac:dyDescent="0.3">
      <c r="A146" s="1">
        <v>2414</v>
      </c>
      <c r="B146" s="14" t="s">
        <v>264</v>
      </c>
      <c r="C146" s="14" t="s">
        <v>68</v>
      </c>
      <c r="D146" s="15">
        <v>44216</v>
      </c>
      <c r="E146" s="15">
        <f t="shared" ca="1" si="14"/>
        <v>46195</v>
      </c>
      <c r="F146" s="1">
        <f t="shared" ca="1" si="15"/>
        <v>1979</v>
      </c>
      <c r="G146" s="1">
        <f t="shared" ca="1" si="16"/>
        <v>1937</v>
      </c>
      <c r="H146" s="1">
        <v>42</v>
      </c>
      <c r="I146" s="1">
        <v>0</v>
      </c>
      <c r="J146" s="13">
        <v>56.583333333333329</v>
      </c>
      <c r="K146" s="13">
        <f t="shared" ca="1" si="17"/>
        <v>161.41666666666666</v>
      </c>
      <c r="L146" s="1">
        <v>60</v>
      </c>
      <c r="M146" s="13">
        <f t="shared" ca="1" si="18"/>
        <v>101.41666666666666</v>
      </c>
      <c r="N146" s="13">
        <f>SUMIFS('Leave Tracker'!F:F,'Leave Tracker'!A:A,'Annual Leave Balance'!A146,'Leave Tracker'!C:C,"Annual Leave")</f>
        <v>0</v>
      </c>
      <c r="O146" s="13">
        <f t="shared" ca="1" si="19"/>
        <v>101.41666666666666</v>
      </c>
    </row>
    <row r="147" spans="1:15" hidden="1" x14ac:dyDescent="0.3">
      <c r="A147" s="1">
        <v>2417</v>
      </c>
      <c r="B147" s="14" t="s">
        <v>265</v>
      </c>
      <c r="C147" s="14" t="s">
        <v>68</v>
      </c>
      <c r="D147" s="15">
        <v>44227</v>
      </c>
      <c r="E147" s="15">
        <f t="shared" ca="1" si="14"/>
        <v>46195</v>
      </c>
      <c r="F147" s="1">
        <f t="shared" ca="1" si="15"/>
        <v>1968</v>
      </c>
      <c r="G147" s="1">
        <f t="shared" ca="1" si="16"/>
        <v>1948</v>
      </c>
      <c r="H147" s="1">
        <v>12</v>
      </c>
      <c r="I147" s="1">
        <v>8</v>
      </c>
      <c r="J147" s="13">
        <v>56.5</v>
      </c>
      <c r="K147" s="13">
        <f t="shared" ca="1" si="17"/>
        <v>162.33333333333334</v>
      </c>
      <c r="L147" s="1">
        <v>61</v>
      </c>
      <c r="M147" s="13">
        <f t="shared" ca="1" si="18"/>
        <v>101.33333333333334</v>
      </c>
      <c r="N147" s="13">
        <f>SUMIFS('Leave Tracker'!F:F,'Leave Tracker'!A:A,'Annual Leave Balance'!A147,'Leave Tracker'!C:C,"Annual Leave")</f>
        <v>60</v>
      </c>
      <c r="O147" s="13">
        <f t="shared" ca="1" si="19"/>
        <v>41.333333333333343</v>
      </c>
    </row>
    <row r="148" spans="1:15" hidden="1" x14ac:dyDescent="0.3">
      <c r="A148" s="1">
        <v>2429</v>
      </c>
      <c r="B148" s="14" t="s">
        <v>266</v>
      </c>
      <c r="C148" s="14" t="s">
        <v>68</v>
      </c>
      <c r="D148" s="15">
        <v>44257</v>
      </c>
      <c r="E148" s="15">
        <f t="shared" ca="1" si="14"/>
        <v>46195</v>
      </c>
      <c r="F148" s="1">
        <f t="shared" ca="1" si="15"/>
        <v>1938</v>
      </c>
      <c r="G148" s="1">
        <f t="shared" ca="1" si="16"/>
        <v>1924</v>
      </c>
      <c r="H148" s="1">
        <v>14</v>
      </c>
      <c r="I148" s="1">
        <v>0</v>
      </c>
      <c r="J148" s="13">
        <v>55.5</v>
      </c>
      <c r="K148" s="13">
        <f t="shared" ca="1" si="17"/>
        <v>160.33333333333331</v>
      </c>
      <c r="L148" s="1">
        <v>60</v>
      </c>
      <c r="M148" s="13">
        <f t="shared" ca="1" si="18"/>
        <v>100.33333333333331</v>
      </c>
      <c r="N148" s="13">
        <f>SUMIFS('Leave Tracker'!F:F,'Leave Tracker'!A:A,'Annual Leave Balance'!A148,'Leave Tracker'!C:C,"Annual Leave")</f>
        <v>60</v>
      </c>
      <c r="O148" s="13">
        <f t="shared" ca="1" si="19"/>
        <v>40.333333333333314</v>
      </c>
    </row>
    <row r="149" spans="1:15" hidden="1" x14ac:dyDescent="0.3">
      <c r="A149" s="1">
        <v>2430</v>
      </c>
      <c r="B149" s="14" t="s">
        <v>267</v>
      </c>
      <c r="C149" s="14" t="s">
        <v>68</v>
      </c>
      <c r="D149" s="15">
        <v>44264</v>
      </c>
      <c r="E149" s="15">
        <f t="shared" ca="1" si="14"/>
        <v>46195</v>
      </c>
      <c r="F149" s="1">
        <f t="shared" ca="1" si="15"/>
        <v>1931</v>
      </c>
      <c r="G149" s="1">
        <f t="shared" ca="1" si="16"/>
        <v>1927</v>
      </c>
      <c r="H149" s="1">
        <v>4</v>
      </c>
      <c r="I149" s="1">
        <v>0</v>
      </c>
      <c r="J149" s="13">
        <v>55.75</v>
      </c>
      <c r="K149" s="13">
        <f t="shared" ca="1" si="17"/>
        <v>160.58333333333334</v>
      </c>
      <c r="L149" s="1">
        <v>60</v>
      </c>
      <c r="M149" s="13">
        <f t="shared" ca="1" si="18"/>
        <v>100.58333333333334</v>
      </c>
      <c r="N149" s="13">
        <f>SUMIFS('Leave Tracker'!F:F,'Leave Tracker'!A:A,'Annual Leave Balance'!A149,'Leave Tracker'!C:C,"Annual Leave")</f>
        <v>60</v>
      </c>
      <c r="O149" s="13">
        <f t="shared" ca="1" si="19"/>
        <v>40.583333333333343</v>
      </c>
    </row>
    <row r="150" spans="1:15" hidden="1" x14ac:dyDescent="0.3">
      <c r="A150" s="1">
        <v>2431</v>
      </c>
      <c r="B150" s="14" t="s">
        <v>268</v>
      </c>
      <c r="C150" s="14" t="s">
        <v>68</v>
      </c>
      <c r="D150" s="15">
        <v>44273</v>
      </c>
      <c r="E150" s="15">
        <f t="shared" ca="1" si="14"/>
        <v>46195</v>
      </c>
      <c r="F150" s="1">
        <f t="shared" ca="1" si="15"/>
        <v>1922</v>
      </c>
      <c r="G150" s="1">
        <f t="shared" ca="1" si="16"/>
        <v>1906</v>
      </c>
      <c r="H150" s="1">
        <v>16</v>
      </c>
      <c r="I150" s="1">
        <v>0</v>
      </c>
      <c r="J150" s="13">
        <v>53</v>
      </c>
      <c r="K150" s="13">
        <f t="shared" ca="1" si="17"/>
        <v>158.83333333333331</v>
      </c>
      <c r="L150" s="1">
        <v>61</v>
      </c>
      <c r="M150" s="13">
        <f t="shared" ca="1" si="18"/>
        <v>97.833333333333314</v>
      </c>
      <c r="N150" s="13">
        <f>SUMIFS('Leave Tracker'!F:F,'Leave Tracker'!A:A,'Annual Leave Balance'!A150,'Leave Tracker'!C:C,"Annual Leave")</f>
        <v>0</v>
      </c>
      <c r="O150" s="13">
        <f t="shared" ca="1" si="19"/>
        <v>97.833333333333314</v>
      </c>
    </row>
    <row r="151" spans="1:15" hidden="1" x14ac:dyDescent="0.3">
      <c r="A151" s="1">
        <v>2436</v>
      </c>
      <c r="B151" s="14" t="s">
        <v>269</v>
      </c>
      <c r="C151" s="14" t="s">
        <v>108</v>
      </c>
      <c r="D151" s="15">
        <v>44279</v>
      </c>
      <c r="E151" s="15">
        <f t="shared" ca="1" si="14"/>
        <v>46195</v>
      </c>
      <c r="F151" s="1">
        <f t="shared" ca="1" si="15"/>
        <v>1916</v>
      </c>
      <c r="G151" s="1">
        <f t="shared" ca="1" si="16"/>
        <v>1916</v>
      </c>
      <c r="H151" s="1">
        <v>0</v>
      </c>
      <c r="I151" s="1">
        <v>0</v>
      </c>
      <c r="J151" s="13">
        <v>54.833333333333343</v>
      </c>
      <c r="K151" s="13">
        <f t="shared" ca="1" si="17"/>
        <v>159.66666666666666</v>
      </c>
      <c r="L151" s="1">
        <v>60</v>
      </c>
      <c r="M151" s="13">
        <f t="shared" ca="1" si="18"/>
        <v>99.666666666666657</v>
      </c>
      <c r="N151" s="13">
        <f>SUMIFS('Leave Tracker'!F:F,'Leave Tracker'!A:A,'Annual Leave Balance'!A151,'Leave Tracker'!C:C,"Annual Leave")</f>
        <v>60</v>
      </c>
      <c r="O151" s="13">
        <f t="shared" ca="1" si="19"/>
        <v>39.666666666666657</v>
      </c>
    </row>
    <row r="152" spans="1:15" hidden="1" x14ac:dyDescent="0.3">
      <c r="A152" s="1">
        <v>2440</v>
      </c>
      <c r="B152" s="14" t="s">
        <v>270</v>
      </c>
      <c r="C152" s="14" t="s">
        <v>68</v>
      </c>
      <c r="D152" s="15">
        <v>44294</v>
      </c>
      <c r="E152" s="15">
        <f t="shared" ca="1" si="14"/>
        <v>46195</v>
      </c>
      <c r="F152" s="1">
        <f t="shared" ca="1" si="15"/>
        <v>1901</v>
      </c>
      <c r="G152" s="1">
        <f t="shared" ca="1" si="16"/>
        <v>1901</v>
      </c>
      <c r="H152" s="1">
        <v>0</v>
      </c>
      <c r="I152" s="1">
        <v>0</v>
      </c>
      <c r="J152" s="13">
        <v>52.583333333333329</v>
      </c>
      <c r="K152" s="13">
        <f t="shared" ca="1" si="17"/>
        <v>158.41666666666669</v>
      </c>
      <c r="L152" s="1">
        <v>61</v>
      </c>
      <c r="M152" s="13">
        <f t="shared" ca="1" si="18"/>
        <v>97.416666666666686</v>
      </c>
      <c r="N152" s="13">
        <f>SUMIFS('Leave Tracker'!F:F,'Leave Tracker'!A:A,'Annual Leave Balance'!A152,'Leave Tracker'!C:C,"Annual Leave")</f>
        <v>0</v>
      </c>
      <c r="O152" s="13">
        <f t="shared" ca="1" si="19"/>
        <v>97.416666666666686</v>
      </c>
    </row>
    <row r="153" spans="1:15" hidden="1" x14ac:dyDescent="0.3">
      <c r="A153" s="1">
        <v>2448</v>
      </c>
      <c r="B153" s="14" t="s">
        <v>271</v>
      </c>
      <c r="C153" s="14" t="s">
        <v>68</v>
      </c>
      <c r="D153" s="15">
        <v>44356</v>
      </c>
      <c r="E153" s="15">
        <f t="shared" ca="1" si="14"/>
        <v>46195</v>
      </c>
      <c r="F153" s="1">
        <f t="shared" ca="1" si="15"/>
        <v>1839</v>
      </c>
      <c r="G153" s="1">
        <f t="shared" ca="1" si="16"/>
        <v>1785</v>
      </c>
      <c r="H153" s="1">
        <v>1</v>
      </c>
      <c r="I153" s="1">
        <v>53</v>
      </c>
      <c r="J153" s="13">
        <v>42.916666666666671</v>
      </c>
      <c r="K153" s="13">
        <f t="shared" ca="1" si="17"/>
        <v>148.75</v>
      </c>
      <c r="L153" s="1">
        <v>61</v>
      </c>
      <c r="M153" s="13">
        <f t="shared" ca="1" si="18"/>
        <v>87.75</v>
      </c>
      <c r="N153" s="13">
        <f>SUMIFS('Leave Tracker'!F:F,'Leave Tracker'!A:A,'Annual Leave Balance'!A153,'Leave Tracker'!C:C,"Annual Leave")</f>
        <v>0</v>
      </c>
      <c r="O153" s="13">
        <f t="shared" ca="1" si="19"/>
        <v>87.75</v>
      </c>
    </row>
    <row r="154" spans="1:15" hidden="1" x14ac:dyDescent="0.3">
      <c r="A154" s="1">
        <v>2449</v>
      </c>
      <c r="B154" s="14" t="s">
        <v>272</v>
      </c>
      <c r="C154" s="14" t="s">
        <v>68</v>
      </c>
      <c r="D154" s="15">
        <v>44343</v>
      </c>
      <c r="E154" s="15">
        <f t="shared" ca="1" si="14"/>
        <v>46195</v>
      </c>
      <c r="F154" s="1">
        <f t="shared" ca="1" si="15"/>
        <v>1852</v>
      </c>
      <c r="G154" s="1">
        <f t="shared" ca="1" si="16"/>
        <v>1852</v>
      </c>
      <c r="H154" s="1">
        <v>0</v>
      </c>
      <c r="I154" s="1">
        <v>0</v>
      </c>
      <c r="J154" s="13">
        <v>45.5</v>
      </c>
      <c r="K154" s="13">
        <f t="shared" ca="1" si="17"/>
        <v>154.33333333333334</v>
      </c>
      <c r="L154" s="1">
        <v>64</v>
      </c>
      <c r="M154" s="13">
        <f t="shared" ca="1" si="18"/>
        <v>90.333333333333343</v>
      </c>
      <c r="N154" s="13">
        <f>SUMIFS('Leave Tracker'!F:F,'Leave Tracker'!A:A,'Annual Leave Balance'!A154,'Leave Tracker'!C:C,"Annual Leave")</f>
        <v>60</v>
      </c>
      <c r="O154" s="13">
        <f t="shared" ca="1" si="19"/>
        <v>30.333333333333343</v>
      </c>
    </row>
    <row r="155" spans="1:15" hidden="1" x14ac:dyDescent="0.3">
      <c r="A155" s="1">
        <v>2450</v>
      </c>
      <c r="B155" s="14" t="s">
        <v>273</v>
      </c>
      <c r="C155" s="14" t="s">
        <v>68</v>
      </c>
      <c r="D155" s="15">
        <v>44356</v>
      </c>
      <c r="E155" s="15">
        <f t="shared" ca="1" si="14"/>
        <v>46195</v>
      </c>
      <c r="F155" s="1">
        <f t="shared" ca="1" si="15"/>
        <v>1839</v>
      </c>
      <c r="G155" s="1">
        <f t="shared" ca="1" si="16"/>
        <v>1778</v>
      </c>
      <c r="H155" s="1">
        <v>31</v>
      </c>
      <c r="I155" s="1">
        <v>30</v>
      </c>
      <c r="J155" s="13">
        <v>43.333333333333343</v>
      </c>
      <c r="K155" s="13">
        <f t="shared" ca="1" si="17"/>
        <v>148.16666666666669</v>
      </c>
      <c r="L155" s="1">
        <v>60</v>
      </c>
      <c r="M155" s="13">
        <f t="shared" ca="1" si="18"/>
        <v>88.166666666666686</v>
      </c>
      <c r="N155" s="13">
        <f>SUMIFS('Leave Tracker'!F:F,'Leave Tracker'!A:A,'Annual Leave Balance'!A155,'Leave Tracker'!C:C,"Annual Leave")</f>
        <v>60</v>
      </c>
      <c r="O155" s="13">
        <f t="shared" ca="1" si="19"/>
        <v>28.166666666666686</v>
      </c>
    </row>
    <row r="156" spans="1:15" hidden="1" x14ac:dyDescent="0.3">
      <c r="A156" s="1">
        <v>2451</v>
      </c>
      <c r="B156" s="14" t="s">
        <v>274</v>
      </c>
      <c r="C156" s="14" t="s">
        <v>275</v>
      </c>
      <c r="D156" s="15">
        <v>44364</v>
      </c>
      <c r="E156" s="15">
        <f t="shared" ca="1" si="14"/>
        <v>46195</v>
      </c>
      <c r="F156" s="1">
        <f t="shared" ca="1" si="15"/>
        <v>1831</v>
      </c>
      <c r="G156" s="1">
        <f t="shared" ca="1" si="16"/>
        <v>1828</v>
      </c>
      <c r="H156" s="1">
        <v>3</v>
      </c>
      <c r="I156" s="1">
        <v>0</v>
      </c>
      <c r="J156" s="13">
        <v>18.5</v>
      </c>
      <c r="K156" s="13">
        <f t="shared" ca="1" si="17"/>
        <v>152.33333333333331</v>
      </c>
      <c r="L156" s="1">
        <v>89</v>
      </c>
      <c r="M156" s="13">
        <f t="shared" ca="1" si="18"/>
        <v>63.333333333333314</v>
      </c>
      <c r="N156" s="13">
        <f>SUMIFS('Leave Tracker'!F:F,'Leave Tracker'!A:A,'Annual Leave Balance'!A156,'Leave Tracker'!C:C,"Annual Leave")</f>
        <v>30</v>
      </c>
      <c r="O156" s="13">
        <f t="shared" ca="1" si="19"/>
        <v>33.333333333333314</v>
      </c>
    </row>
    <row r="157" spans="1:15" hidden="1" x14ac:dyDescent="0.3">
      <c r="A157" s="1">
        <v>2461</v>
      </c>
      <c r="B157" s="14" t="s">
        <v>276</v>
      </c>
      <c r="C157" s="14" t="s">
        <v>277</v>
      </c>
      <c r="D157" s="15">
        <v>44433</v>
      </c>
      <c r="E157" s="15">
        <f t="shared" ca="1" si="14"/>
        <v>46195</v>
      </c>
      <c r="F157" s="1">
        <f t="shared" ca="1" si="15"/>
        <v>1762</v>
      </c>
      <c r="G157" s="1">
        <f t="shared" ca="1" si="16"/>
        <v>1762</v>
      </c>
      <c r="H157" s="1">
        <v>0</v>
      </c>
      <c r="I157" s="1">
        <v>0</v>
      </c>
      <c r="J157" s="13">
        <v>43</v>
      </c>
      <c r="K157" s="13">
        <f t="shared" ca="1" si="17"/>
        <v>146.83333333333334</v>
      </c>
      <c r="L157" s="1">
        <v>59</v>
      </c>
      <c r="M157" s="13">
        <f t="shared" ca="1" si="18"/>
        <v>87.833333333333343</v>
      </c>
      <c r="N157" s="13">
        <f>SUMIFS('Leave Tracker'!F:F,'Leave Tracker'!A:A,'Annual Leave Balance'!A157,'Leave Tracker'!C:C,"Annual Leave")</f>
        <v>0</v>
      </c>
      <c r="O157" s="13">
        <f t="shared" ca="1" si="19"/>
        <v>87.833333333333343</v>
      </c>
    </row>
    <row r="158" spans="1:15" hidden="1" x14ac:dyDescent="0.3">
      <c r="A158" s="1">
        <v>2471</v>
      </c>
      <c r="B158" s="14" t="s">
        <v>278</v>
      </c>
      <c r="C158" s="14" t="s">
        <v>225</v>
      </c>
      <c r="D158" s="15">
        <v>44466</v>
      </c>
      <c r="E158" s="15">
        <f t="shared" ca="1" si="14"/>
        <v>46195</v>
      </c>
      <c r="F158" s="1">
        <f t="shared" ca="1" si="15"/>
        <v>1729</v>
      </c>
      <c r="G158" s="1">
        <f t="shared" ca="1" si="16"/>
        <v>1702</v>
      </c>
      <c r="H158" s="1">
        <v>27</v>
      </c>
      <c r="I158" s="1">
        <v>0</v>
      </c>
      <c r="J158" s="13">
        <v>37</v>
      </c>
      <c r="K158" s="13">
        <f t="shared" ca="1" si="17"/>
        <v>141.83333333333334</v>
      </c>
      <c r="L158" s="1">
        <v>60</v>
      </c>
      <c r="M158" s="13">
        <f t="shared" ca="1" si="18"/>
        <v>81.833333333333343</v>
      </c>
      <c r="N158" s="13">
        <f>SUMIFS('Leave Tracker'!F:F,'Leave Tracker'!A:A,'Annual Leave Balance'!A158,'Leave Tracker'!C:C,"Annual Leave")</f>
        <v>62</v>
      </c>
      <c r="O158" s="13">
        <f t="shared" ca="1" si="19"/>
        <v>19.833333333333343</v>
      </c>
    </row>
    <row r="159" spans="1:15" hidden="1" x14ac:dyDescent="0.3">
      <c r="A159" s="1">
        <v>2472</v>
      </c>
      <c r="B159" s="14" t="s">
        <v>279</v>
      </c>
      <c r="C159" s="14" t="s">
        <v>78</v>
      </c>
      <c r="D159" s="15">
        <v>44467</v>
      </c>
      <c r="E159" s="15">
        <f t="shared" ca="1" si="14"/>
        <v>46195</v>
      </c>
      <c r="F159" s="1">
        <f t="shared" ca="1" si="15"/>
        <v>1728</v>
      </c>
      <c r="G159" s="1">
        <f t="shared" ca="1" si="16"/>
        <v>1640</v>
      </c>
      <c r="H159" s="1">
        <v>88</v>
      </c>
      <c r="I159" s="1">
        <v>0</v>
      </c>
      <c r="J159" s="13">
        <v>99.166666666666657</v>
      </c>
      <c r="K159" s="13">
        <f t="shared" ca="1" si="17"/>
        <v>136.66666666666666</v>
      </c>
      <c r="L159" s="1">
        <v>0</v>
      </c>
      <c r="M159" s="13">
        <f t="shared" ca="1" si="18"/>
        <v>136.66666666666666</v>
      </c>
      <c r="N159" s="13">
        <f>SUMIFS('Leave Tracker'!F:F,'Leave Tracker'!A:A,'Annual Leave Balance'!A159,'Leave Tracker'!C:C,"Annual Leave")</f>
        <v>61</v>
      </c>
      <c r="O159" s="13">
        <f t="shared" ca="1" si="19"/>
        <v>75.666666666666657</v>
      </c>
    </row>
    <row r="160" spans="1:15" hidden="1" x14ac:dyDescent="0.3">
      <c r="A160" s="1">
        <v>2478</v>
      </c>
      <c r="B160" s="14" t="s">
        <v>280</v>
      </c>
      <c r="C160" s="14" t="s">
        <v>225</v>
      </c>
      <c r="D160" s="15">
        <v>44492</v>
      </c>
      <c r="E160" s="15">
        <f t="shared" ca="1" si="14"/>
        <v>46195</v>
      </c>
      <c r="F160" s="1">
        <f t="shared" ca="1" si="15"/>
        <v>1703</v>
      </c>
      <c r="G160" s="1">
        <f t="shared" ca="1" si="16"/>
        <v>1673</v>
      </c>
      <c r="H160" s="1">
        <v>30</v>
      </c>
      <c r="I160" s="1">
        <v>0</v>
      </c>
      <c r="J160" s="13">
        <v>34.583333333333329</v>
      </c>
      <c r="K160" s="13">
        <f t="shared" ca="1" si="17"/>
        <v>139.41666666666666</v>
      </c>
      <c r="L160" s="1">
        <v>60</v>
      </c>
      <c r="M160" s="13">
        <f t="shared" ca="1" si="18"/>
        <v>79.416666666666657</v>
      </c>
      <c r="N160" s="13">
        <f>SUMIFS('Leave Tracker'!F:F,'Leave Tracker'!A:A,'Annual Leave Balance'!A160,'Leave Tracker'!C:C,"Annual Leave")</f>
        <v>0</v>
      </c>
      <c r="O160" s="13">
        <f t="shared" ca="1" si="19"/>
        <v>79.416666666666657</v>
      </c>
    </row>
    <row r="161" spans="1:16" hidden="1" x14ac:dyDescent="0.3">
      <c r="A161" s="1">
        <v>2479</v>
      </c>
      <c r="B161" s="14" t="s">
        <v>281</v>
      </c>
      <c r="C161" s="14" t="s">
        <v>282</v>
      </c>
      <c r="D161" s="15">
        <v>44492</v>
      </c>
      <c r="E161" s="15">
        <f t="shared" ca="1" si="14"/>
        <v>46195</v>
      </c>
      <c r="F161" s="1">
        <f t="shared" ca="1" si="15"/>
        <v>1703</v>
      </c>
      <c r="G161" s="1">
        <f t="shared" ca="1" si="16"/>
        <v>1642</v>
      </c>
      <c r="H161" s="1">
        <v>26</v>
      </c>
      <c r="I161" s="1">
        <v>35</v>
      </c>
      <c r="J161" s="13">
        <v>32</v>
      </c>
      <c r="K161" s="13">
        <f t="shared" ca="1" si="17"/>
        <v>136.83333333333331</v>
      </c>
      <c r="L161" s="1">
        <v>60</v>
      </c>
      <c r="M161" s="13">
        <f t="shared" ca="1" si="18"/>
        <v>76.833333333333314</v>
      </c>
      <c r="N161" s="13">
        <f>SUMIFS('Leave Tracker'!F:F,'Leave Tracker'!A:A,'Annual Leave Balance'!A161,'Leave Tracker'!C:C,"Annual Leave")</f>
        <v>0</v>
      </c>
      <c r="O161" s="13">
        <f t="shared" ca="1" si="19"/>
        <v>76.833333333333314</v>
      </c>
    </row>
    <row r="162" spans="1:16" hidden="1" x14ac:dyDescent="0.3">
      <c r="A162" s="1">
        <v>2480</v>
      </c>
      <c r="B162" s="47" t="s">
        <v>283</v>
      </c>
      <c r="C162" s="14" t="s">
        <v>284</v>
      </c>
      <c r="D162" s="15">
        <v>44502</v>
      </c>
      <c r="E162" s="15">
        <v>46022</v>
      </c>
      <c r="F162" s="1">
        <f t="shared" si="15"/>
        <v>1520</v>
      </c>
      <c r="G162" s="1">
        <f t="shared" si="16"/>
        <v>1520</v>
      </c>
      <c r="H162" s="1">
        <v>0</v>
      </c>
      <c r="I162" s="1">
        <v>0</v>
      </c>
      <c r="J162" s="13">
        <v>86.25</v>
      </c>
      <c r="K162" s="13">
        <f t="shared" si="17"/>
        <v>126.66666666666667</v>
      </c>
      <c r="L162" s="1">
        <v>10</v>
      </c>
      <c r="M162" s="13">
        <f t="shared" si="18"/>
        <v>116.66666666666667</v>
      </c>
      <c r="N162" s="13">
        <f>SUMIFS('Leave Tracker'!F:F,'Leave Tracker'!A:A,'Annual Leave Balance'!A162,'Leave Tracker'!C:C,"Annual Leave")</f>
        <v>0</v>
      </c>
      <c r="O162" s="13">
        <f t="shared" si="19"/>
        <v>116.66666666666667</v>
      </c>
    </row>
    <row r="163" spans="1:16" hidden="1" x14ac:dyDescent="0.3">
      <c r="A163" s="1">
        <v>2481</v>
      </c>
      <c r="B163" s="14" t="s">
        <v>285</v>
      </c>
      <c r="C163" s="14" t="s">
        <v>286</v>
      </c>
      <c r="D163" s="15">
        <v>44504</v>
      </c>
      <c r="E163" s="15">
        <f t="shared" ref="E163:E185" ca="1" si="20">TODAY()</f>
        <v>46195</v>
      </c>
      <c r="F163" s="1">
        <f t="shared" ca="1" si="15"/>
        <v>1691</v>
      </c>
      <c r="G163" s="1">
        <f t="shared" ca="1" si="16"/>
        <v>1664</v>
      </c>
      <c r="H163" s="1">
        <v>0</v>
      </c>
      <c r="I163" s="1">
        <v>27</v>
      </c>
      <c r="J163" s="13">
        <v>23.833333333333329</v>
      </c>
      <c r="K163" s="13">
        <f t="shared" ca="1" si="17"/>
        <v>138.66666666666666</v>
      </c>
      <c r="L163" s="1">
        <v>70</v>
      </c>
      <c r="M163" s="13">
        <f t="shared" ca="1" si="18"/>
        <v>68.666666666666657</v>
      </c>
      <c r="N163" s="13">
        <f>SUMIFS('Leave Tracker'!F:F,'Leave Tracker'!A:A,'Annual Leave Balance'!A163,'Leave Tracker'!C:C,"Annual Leave")</f>
        <v>0</v>
      </c>
      <c r="O163" s="13">
        <f t="shared" ca="1" si="19"/>
        <v>68.666666666666657</v>
      </c>
    </row>
    <row r="164" spans="1:16" hidden="1" x14ac:dyDescent="0.3">
      <c r="A164" s="1">
        <v>2482</v>
      </c>
      <c r="B164" s="47" t="s">
        <v>287</v>
      </c>
      <c r="C164" s="14" t="s">
        <v>288</v>
      </c>
      <c r="D164" s="15">
        <v>44506</v>
      </c>
      <c r="E164" s="15">
        <v>46022</v>
      </c>
      <c r="F164" s="1">
        <f t="shared" si="15"/>
        <v>1516</v>
      </c>
      <c r="G164" s="1">
        <f t="shared" si="16"/>
        <v>1470</v>
      </c>
      <c r="H164" s="1">
        <v>15</v>
      </c>
      <c r="I164" s="1">
        <v>31</v>
      </c>
      <c r="J164" s="13">
        <v>92.083333333333343</v>
      </c>
      <c r="K164" s="13">
        <f t="shared" si="17"/>
        <v>122.49999999999999</v>
      </c>
      <c r="L164" s="1">
        <v>0</v>
      </c>
      <c r="M164" s="13">
        <f t="shared" si="18"/>
        <v>122.49999999999999</v>
      </c>
      <c r="N164" s="13">
        <f>SUMIFS('Leave Tracker'!F:F,'Leave Tracker'!A:A,'Annual Leave Balance'!A164,'Leave Tracker'!C:C,"Annual Leave")</f>
        <v>0</v>
      </c>
      <c r="O164" s="13">
        <f t="shared" si="19"/>
        <v>122.49999999999999</v>
      </c>
    </row>
    <row r="165" spans="1:16" hidden="1" x14ac:dyDescent="0.3">
      <c r="A165" s="1">
        <v>2483</v>
      </c>
      <c r="B165" s="14" t="s">
        <v>289</v>
      </c>
      <c r="C165" s="14" t="s">
        <v>290</v>
      </c>
      <c r="D165" s="15">
        <v>44511</v>
      </c>
      <c r="E165" s="15">
        <f t="shared" ca="1" si="20"/>
        <v>46195</v>
      </c>
      <c r="F165" s="1">
        <f t="shared" ca="1" si="15"/>
        <v>1684</v>
      </c>
      <c r="G165" s="1">
        <f t="shared" ca="1" si="16"/>
        <v>1597</v>
      </c>
      <c r="H165" s="1">
        <v>11</v>
      </c>
      <c r="I165" s="1">
        <v>76</v>
      </c>
      <c r="J165" s="13">
        <v>-19.75</v>
      </c>
      <c r="K165" s="13">
        <f t="shared" ca="1" si="17"/>
        <v>133.08333333333331</v>
      </c>
      <c r="L165" s="1">
        <v>108</v>
      </c>
      <c r="M165" s="13">
        <f t="shared" ca="1" si="18"/>
        <v>25.083333333333314</v>
      </c>
      <c r="N165" s="13">
        <f>SUMIFS('Leave Tracker'!F:F,'Leave Tracker'!A:A,'Annual Leave Balance'!A165,'Leave Tracker'!C:C,"Annual Leave")</f>
        <v>0</v>
      </c>
      <c r="O165" s="13">
        <f t="shared" ca="1" si="19"/>
        <v>25.083333333333314</v>
      </c>
    </row>
    <row r="166" spans="1:16" hidden="1" x14ac:dyDescent="0.3">
      <c r="A166" s="1">
        <v>2486</v>
      </c>
      <c r="B166" s="14" t="s">
        <v>291</v>
      </c>
      <c r="C166" s="14" t="s">
        <v>260</v>
      </c>
      <c r="D166" s="15">
        <v>44521</v>
      </c>
      <c r="E166" s="15">
        <f t="shared" ca="1" si="20"/>
        <v>46195</v>
      </c>
      <c r="F166" s="1">
        <f t="shared" ca="1" si="15"/>
        <v>1674</v>
      </c>
      <c r="G166" s="1">
        <f t="shared" ca="1" si="16"/>
        <v>1658</v>
      </c>
      <c r="H166" s="1">
        <v>6</v>
      </c>
      <c r="I166" s="1">
        <v>10</v>
      </c>
      <c r="J166" s="13">
        <v>59.166666666666671</v>
      </c>
      <c r="K166" s="13">
        <f t="shared" ca="1" si="17"/>
        <v>138.16666666666666</v>
      </c>
      <c r="L166" s="1">
        <v>47</v>
      </c>
      <c r="M166" s="13">
        <f t="shared" ca="1" si="18"/>
        <v>91.166666666666657</v>
      </c>
      <c r="N166" s="13">
        <f>SUMIFS('Leave Tracker'!F:F,'Leave Tracker'!A:A,'Annual Leave Balance'!A166,'Leave Tracker'!C:C,"Annual Leave")</f>
        <v>20</v>
      </c>
      <c r="O166" s="13">
        <f t="shared" ca="1" si="19"/>
        <v>71.166666666666657</v>
      </c>
    </row>
    <row r="167" spans="1:16" hidden="1" x14ac:dyDescent="0.3">
      <c r="A167" s="1">
        <v>2491</v>
      </c>
      <c r="B167" s="47" t="s">
        <v>292</v>
      </c>
      <c r="C167" s="14" t="s">
        <v>284</v>
      </c>
      <c r="D167" s="15">
        <v>44539</v>
      </c>
      <c r="E167" s="15">
        <v>46022</v>
      </c>
      <c r="F167" s="1">
        <f t="shared" si="15"/>
        <v>1483</v>
      </c>
      <c r="G167" s="1">
        <f t="shared" si="16"/>
        <v>1410</v>
      </c>
      <c r="H167" s="1">
        <v>43</v>
      </c>
      <c r="I167" s="1">
        <v>30</v>
      </c>
      <c r="J167" s="13">
        <v>29.583333333333329</v>
      </c>
      <c r="K167" s="13">
        <f t="shared" si="17"/>
        <v>117.5</v>
      </c>
      <c r="L167" s="1">
        <v>60</v>
      </c>
      <c r="M167" s="13">
        <f t="shared" si="18"/>
        <v>57.5</v>
      </c>
      <c r="N167" s="13">
        <f>SUMIFS('Leave Tracker'!F:F,'Leave Tracker'!A:A,'Annual Leave Balance'!A167,'Leave Tracker'!C:C,"Annual Leave")</f>
        <v>43</v>
      </c>
      <c r="O167" s="13">
        <f t="shared" si="19"/>
        <v>14.5</v>
      </c>
    </row>
    <row r="168" spans="1:16" hidden="1" x14ac:dyDescent="0.3">
      <c r="A168" s="1">
        <v>2499</v>
      </c>
      <c r="B168" s="14" t="s">
        <v>293</v>
      </c>
      <c r="C168" s="14" t="s">
        <v>68</v>
      </c>
      <c r="D168" s="15">
        <v>44579</v>
      </c>
      <c r="E168" s="15">
        <f t="shared" ca="1" si="20"/>
        <v>46195</v>
      </c>
      <c r="F168" s="1">
        <f t="shared" ca="1" si="15"/>
        <v>1616</v>
      </c>
      <c r="G168" s="1">
        <f t="shared" ca="1" si="16"/>
        <v>1613</v>
      </c>
      <c r="H168" s="1">
        <v>3</v>
      </c>
      <c r="I168" s="1">
        <v>0</v>
      </c>
      <c r="J168" s="13">
        <v>28.583333333333329</v>
      </c>
      <c r="K168" s="13">
        <f t="shared" ca="1" si="17"/>
        <v>134.41666666666666</v>
      </c>
      <c r="L168" s="1">
        <v>61</v>
      </c>
      <c r="M168" s="13">
        <f t="shared" ca="1" si="18"/>
        <v>73.416666666666657</v>
      </c>
      <c r="N168" s="13">
        <f>SUMIFS('Leave Tracker'!F:F,'Leave Tracker'!A:A,'Annual Leave Balance'!A168,'Leave Tracker'!C:C,"Annual Leave")</f>
        <v>15</v>
      </c>
      <c r="O168" s="13">
        <f t="shared" ca="1" si="19"/>
        <v>58.416666666666657</v>
      </c>
      <c r="P168" t="s">
        <v>600</v>
      </c>
    </row>
    <row r="169" spans="1:16" hidden="1" x14ac:dyDescent="0.3">
      <c r="A169" s="1">
        <v>2500</v>
      </c>
      <c r="B169" s="14" t="s">
        <v>294</v>
      </c>
      <c r="C169" s="14" t="s">
        <v>295</v>
      </c>
      <c r="D169" s="15">
        <v>44585</v>
      </c>
      <c r="E169" s="15">
        <f t="shared" ca="1" si="20"/>
        <v>46195</v>
      </c>
      <c r="F169" s="1">
        <f t="shared" ca="1" si="15"/>
        <v>1610</v>
      </c>
      <c r="G169" s="1">
        <f t="shared" ca="1" si="16"/>
        <v>1601</v>
      </c>
      <c r="H169" s="1">
        <v>9</v>
      </c>
      <c r="I169" s="1">
        <v>0</v>
      </c>
      <c r="J169" s="13">
        <v>26.583333333333343</v>
      </c>
      <c r="K169" s="13">
        <f t="shared" ca="1" si="17"/>
        <v>133.41666666666666</v>
      </c>
      <c r="L169" s="1">
        <v>62</v>
      </c>
      <c r="M169" s="13">
        <f t="shared" ca="1" si="18"/>
        <v>71.416666666666657</v>
      </c>
      <c r="N169" s="13">
        <f>SUMIFS('Leave Tracker'!F:F,'Leave Tracker'!A:A,'Annual Leave Balance'!A169,'Leave Tracker'!C:C,"Annual Leave")</f>
        <v>0</v>
      </c>
      <c r="O169" s="13">
        <f t="shared" ca="1" si="19"/>
        <v>71.416666666666657</v>
      </c>
    </row>
    <row r="170" spans="1:16" hidden="1" x14ac:dyDescent="0.3">
      <c r="A170" s="1">
        <v>2501</v>
      </c>
      <c r="B170" s="14" t="s">
        <v>296</v>
      </c>
      <c r="C170" s="14" t="s">
        <v>68</v>
      </c>
      <c r="D170" s="15">
        <v>44559</v>
      </c>
      <c r="E170" s="15">
        <f t="shared" ca="1" si="20"/>
        <v>46195</v>
      </c>
      <c r="F170" s="1">
        <f t="shared" ca="1" si="15"/>
        <v>1636</v>
      </c>
      <c r="G170" s="1">
        <f t="shared" ca="1" si="16"/>
        <v>1605</v>
      </c>
      <c r="H170" s="1">
        <v>0</v>
      </c>
      <c r="I170" s="1">
        <v>31</v>
      </c>
      <c r="J170" s="13">
        <v>28.916666666666671</v>
      </c>
      <c r="K170" s="13">
        <f t="shared" ca="1" si="17"/>
        <v>133.75</v>
      </c>
      <c r="L170" s="1">
        <v>60</v>
      </c>
      <c r="M170" s="13">
        <f t="shared" ca="1" si="18"/>
        <v>73.75</v>
      </c>
      <c r="N170" s="13">
        <f>SUMIFS('Leave Tracker'!F:F,'Leave Tracker'!A:A,'Annual Leave Balance'!A170,'Leave Tracker'!C:C,"Annual Leave")</f>
        <v>0</v>
      </c>
      <c r="O170" s="13">
        <f t="shared" ca="1" si="19"/>
        <v>73.75</v>
      </c>
    </row>
    <row r="171" spans="1:16" hidden="1" x14ac:dyDescent="0.3">
      <c r="A171" s="1">
        <v>2502</v>
      </c>
      <c r="B171" s="14" t="s">
        <v>297</v>
      </c>
      <c r="C171" s="14" t="s">
        <v>298</v>
      </c>
      <c r="D171" s="15">
        <v>44587</v>
      </c>
      <c r="E171" s="15">
        <f t="shared" ca="1" si="20"/>
        <v>46195</v>
      </c>
      <c r="F171" s="1">
        <f t="shared" ca="1" si="15"/>
        <v>1608</v>
      </c>
      <c r="G171" s="1">
        <f t="shared" ca="1" si="16"/>
        <v>1608</v>
      </c>
      <c r="H171" s="1">
        <v>0</v>
      </c>
      <c r="I171" s="1">
        <v>0</v>
      </c>
      <c r="J171" s="13">
        <v>29.166666666666671</v>
      </c>
      <c r="K171" s="13">
        <f t="shared" ca="1" si="17"/>
        <v>134</v>
      </c>
      <c r="L171" s="1">
        <v>60</v>
      </c>
      <c r="M171" s="13">
        <f t="shared" ca="1" si="18"/>
        <v>74</v>
      </c>
      <c r="N171" s="13">
        <f>SUMIFS('Leave Tracker'!F:F,'Leave Tracker'!A:A,'Annual Leave Balance'!A171,'Leave Tracker'!C:C,"Annual Leave")</f>
        <v>70</v>
      </c>
      <c r="O171" s="13">
        <f t="shared" ca="1" si="19"/>
        <v>4</v>
      </c>
    </row>
    <row r="172" spans="1:16" hidden="1" x14ac:dyDescent="0.3">
      <c r="A172" s="1">
        <v>2503</v>
      </c>
      <c r="B172" s="14" t="s">
        <v>299</v>
      </c>
      <c r="C172" s="14" t="s">
        <v>298</v>
      </c>
      <c r="D172" s="15">
        <v>44586</v>
      </c>
      <c r="E172" s="15">
        <f t="shared" ca="1" si="20"/>
        <v>46195</v>
      </c>
      <c r="F172" s="1">
        <f t="shared" ca="1" si="15"/>
        <v>1609</v>
      </c>
      <c r="G172" s="1">
        <f t="shared" ca="1" si="16"/>
        <v>1578</v>
      </c>
      <c r="H172" s="1">
        <v>31</v>
      </c>
      <c r="I172" s="1">
        <v>0</v>
      </c>
      <c r="J172" s="13">
        <v>26.666666666666671</v>
      </c>
      <c r="K172" s="13">
        <f t="shared" ca="1" si="17"/>
        <v>131.5</v>
      </c>
      <c r="L172" s="1">
        <v>60</v>
      </c>
      <c r="M172" s="13">
        <f t="shared" ca="1" si="18"/>
        <v>71.5</v>
      </c>
      <c r="N172" s="13">
        <f>SUMIFS('Leave Tracker'!F:F,'Leave Tracker'!A:A,'Annual Leave Balance'!A172,'Leave Tracker'!C:C,"Annual Leave")</f>
        <v>0</v>
      </c>
      <c r="O172" s="13">
        <f t="shared" ca="1" si="19"/>
        <v>71.5</v>
      </c>
    </row>
    <row r="173" spans="1:16" hidden="1" x14ac:dyDescent="0.3">
      <c r="A173" s="1">
        <v>2504</v>
      </c>
      <c r="B173" s="14" t="s">
        <v>300</v>
      </c>
      <c r="C173" s="14" t="s">
        <v>68</v>
      </c>
      <c r="D173" s="15">
        <v>44582</v>
      </c>
      <c r="E173" s="15">
        <f t="shared" ca="1" si="20"/>
        <v>46195</v>
      </c>
      <c r="F173" s="1">
        <f t="shared" ca="1" si="15"/>
        <v>1613</v>
      </c>
      <c r="G173" s="1">
        <f t="shared" ca="1" si="16"/>
        <v>1571</v>
      </c>
      <c r="H173" s="1">
        <v>42</v>
      </c>
      <c r="I173" s="1">
        <v>0</v>
      </c>
      <c r="J173" s="13">
        <v>26.083333333333329</v>
      </c>
      <c r="K173" s="13">
        <f t="shared" ca="1" si="17"/>
        <v>130.91666666666666</v>
      </c>
      <c r="L173" s="1">
        <v>60</v>
      </c>
      <c r="M173" s="13">
        <f t="shared" ca="1" si="18"/>
        <v>70.916666666666657</v>
      </c>
      <c r="N173" s="13">
        <f>SUMIFS('Leave Tracker'!F:F,'Leave Tracker'!A:A,'Annual Leave Balance'!A173,'Leave Tracker'!C:C,"Annual Leave")</f>
        <v>0</v>
      </c>
      <c r="O173" s="13">
        <f t="shared" ca="1" si="19"/>
        <v>70.916666666666657</v>
      </c>
    </row>
    <row r="174" spans="1:16" hidden="1" x14ac:dyDescent="0.3">
      <c r="A174" s="1">
        <v>2506</v>
      </c>
      <c r="B174" s="14" t="s">
        <v>301</v>
      </c>
      <c r="C174" s="14" t="s">
        <v>68</v>
      </c>
      <c r="D174" s="15">
        <v>44585</v>
      </c>
      <c r="E174" s="15">
        <f t="shared" ca="1" si="20"/>
        <v>46195</v>
      </c>
      <c r="F174" s="1">
        <f t="shared" ca="1" si="15"/>
        <v>1610</v>
      </c>
      <c r="G174" s="1">
        <f t="shared" ca="1" si="16"/>
        <v>1610</v>
      </c>
      <c r="H174" s="1">
        <v>0</v>
      </c>
      <c r="I174" s="1">
        <v>0</v>
      </c>
      <c r="J174" s="13">
        <v>29.333333333333343</v>
      </c>
      <c r="K174" s="13">
        <f t="shared" ca="1" si="17"/>
        <v>134.16666666666666</v>
      </c>
      <c r="L174" s="1">
        <v>60</v>
      </c>
      <c r="M174" s="13">
        <f t="shared" ca="1" si="18"/>
        <v>74.166666666666657</v>
      </c>
      <c r="N174" s="13">
        <f>SUMIFS('Leave Tracker'!F:F,'Leave Tracker'!A:A,'Annual Leave Balance'!A174,'Leave Tracker'!C:C,"Annual Leave")</f>
        <v>0</v>
      </c>
      <c r="O174" s="13">
        <f t="shared" ca="1" si="19"/>
        <v>74.166666666666657</v>
      </c>
    </row>
    <row r="175" spans="1:16" hidden="1" x14ac:dyDescent="0.3">
      <c r="A175" s="1">
        <v>2507</v>
      </c>
      <c r="B175" s="14" t="s">
        <v>302</v>
      </c>
      <c r="C175" s="14" t="s">
        <v>68</v>
      </c>
      <c r="D175" s="15">
        <v>44585</v>
      </c>
      <c r="E175" s="15">
        <f t="shared" ca="1" si="20"/>
        <v>46195</v>
      </c>
      <c r="F175" s="1">
        <f t="shared" ca="1" si="15"/>
        <v>1610</v>
      </c>
      <c r="G175" s="1">
        <f t="shared" ca="1" si="16"/>
        <v>1610</v>
      </c>
      <c r="H175" s="1">
        <v>0</v>
      </c>
      <c r="I175" s="1">
        <v>0</v>
      </c>
      <c r="J175" s="13">
        <v>29.333333333333343</v>
      </c>
      <c r="K175" s="13">
        <f t="shared" ca="1" si="17"/>
        <v>134.16666666666666</v>
      </c>
      <c r="L175" s="1">
        <v>60</v>
      </c>
      <c r="M175" s="13">
        <f t="shared" ca="1" si="18"/>
        <v>74.166666666666657</v>
      </c>
      <c r="N175" s="13">
        <f>SUMIFS('Leave Tracker'!F:F,'Leave Tracker'!A:A,'Annual Leave Balance'!A175,'Leave Tracker'!C:C,"Annual Leave")</f>
        <v>0</v>
      </c>
      <c r="O175" s="13">
        <f t="shared" ca="1" si="19"/>
        <v>74.166666666666657</v>
      </c>
    </row>
    <row r="176" spans="1:16" hidden="1" x14ac:dyDescent="0.3">
      <c r="A176" s="1">
        <v>2508</v>
      </c>
      <c r="B176" s="14" t="s">
        <v>303</v>
      </c>
      <c r="C176" s="14" t="s">
        <v>68</v>
      </c>
      <c r="D176" s="15">
        <v>44586</v>
      </c>
      <c r="E176" s="15">
        <f t="shared" ca="1" si="20"/>
        <v>46195</v>
      </c>
      <c r="F176" s="1">
        <f t="shared" ca="1" si="15"/>
        <v>1609</v>
      </c>
      <c r="G176" s="1">
        <f t="shared" ca="1" si="16"/>
        <v>1464</v>
      </c>
      <c r="H176" s="1">
        <v>130</v>
      </c>
      <c r="I176" s="1">
        <v>15</v>
      </c>
      <c r="J176" s="13">
        <v>17.166666666666671</v>
      </c>
      <c r="K176" s="13">
        <f t="shared" ca="1" si="17"/>
        <v>122</v>
      </c>
      <c r="L176" s="1">
        <v>60</v>
      </c>
      <c r="M176" s="13">
        <f t="shared" ca="1" si="18"/>
        <v>62</v>
      </c>
      <c r="N176" s="13">
        <f>SUMIFS('Leave Tracker'!F:F,'Leave Tracker'!A:A,'Annual Leave Balance'!A176,'Leave Tracker'!C:C,"Annual Leave")</f>
        <v>0</v>
      </c>
      <c r="O176" s="13">
        <f t="shared" ca="1" si="19"/>
        <v>62</v>
      </c>
    </row>
    <row r="177" spans="1:15" hidden="1" x14ac:dyDescent="0.3">
      <c r="A177" s="1">
        <v>2509</v>
      </c>
      <c r="B177" s="14" t="s">
        <v>304</v>
      </c>
      <c r="C177" s="14" t="s">
        <v>68</v>
      </c>
      <c r="D177" s="15">
        <v>44586</v>
      </c>
      <c r="E177" s="15">
        <f t="shared" ca="1" si="20"/>
        <v>46195</v>
      </c>
      <c r="F177" s="1">
        <f t="shared" ca="1" si="15"/>
        <v>1609</v>
      </c>
      <c r="G177" s="1">
        <f t="shared" ca="1" si="16"/>
        <v>1599</v>
      </c>
      <c r="H177" s="1">
        <v>10</v>
      </c>
      <c r="I177" s="1">
        <v>0</v>
      </c>
      <c r="J177" s="13">
        <v>28.416666666666671</v>
      </c>
      <c r="K177" s="13">
        <f t="shared" ca="1" si="17"/>
        <v>133.25</v>
      </c>
      <c r="L177" s="1">
        <v>60</v>
      </c>
      <c r="M177" s="13">
        <f t="shared" ca="1" si="18"/>
        <v>73.25</v>
      </c>
      <c r="N177" s="13">
        <f>SUMIFS('Leave Tracker'!F:F,'Leave Tracker'!A:A,'Annual Leave Balance'!A177,'Leave Tracker'!C:C,"Annual Leave")</f>
        <v>0</v>
      </c>
      <c r="O177" s="13">
        <f t="shared" ca="1" si="19"/>
        <v>73.25</v>
      </c>
    </row>
    <row r="178" spans="1:15" hidden="1" x14ac:dyDescent="0.3">
      <c r="A178" s="1">
        <v>2510</v>
      </c>
      <c r="B178" s="14" t="s">
        <v>305</v>
      </c>
      <c r="C178" s="14" t="s">
        <v>225</v>
      </c>
      <c r="D178" s="15">
        <v>44592</v>
      </c>
      <c r="E178" s="15">
        <f t="shared" ca="1" si="20"/>
        <v>46195</v>
      </c>
      <c r="F178" s="1">
        <f t="shared" ca="1" si="15"/>
        <v>1603</v>
      </c>
      <c r="G178" s="1">
        <f t="shared" ca="1" si="16"/>
        <v>1580</v>
      </c>
      <c r="H178" s="1">
        <v>23</v>
      </c>
      <c r="I178" s="1">
        <v>0</v>
      </c>
      <c r="J178" s="13">
        <v>25.833333333333329</v>
      </c>
      <c r="K178" s="13">
        <f t="shared" ca="1" si="17"/>
        <v>131.66666666666669</v>
      </c>
      <c r="L178" s="1">
        <v>61</v>
      </c>
      <c r="M178" s="13">
        <f t="shared" ca="1" si="18"/>
        <v>70.666666666666686</v>
      </c>
      <c r="N178" s="13">
        <f>SUMIFS('Leave Tracker'!F:F,'Leave Tracker'!A:A,'Annual Leave Balance'!A178,'Leave Tracker'!C:C,"Annual Leave")</f>
        <v>0</v>
      </c>
      <c r="O178" s="13">
        <f t="shared" ca="1" si="19"/>
        <v>70.666666666666686</v>
      </c>
    </row>
    <row r="179" spans="1:15" hidden="1" x14ac:dyDescent="0.3">
      <c r="A179" s="1">
        <v>2516</v>
      </c>
      <c r="B179" s="14" t="s">
        <v>306</v>
      </c>
      <c r="C179" s="14" t="s">
        <v>225</v>
      </c>
      <c r="D179" s="15">
        <v>44599</v>
      </c>
      <c r="E179" s="15">
        <f t="shared" ca="1" si="20"/>
        <v>46195</v>
      </c>
      <c r="F179" s="1">
        <f t="shared" ca="1" si="15"/>
        <v>1596</v>
      </c>
      <c r="G179" s="1">
        <f t="shared" ca="1" si="16"/>
        <v>1572</v>
      </c>
      <c r="H179" s="1">
        <v>24</v>
      </c>
      <c r="I179" s="1">
        <v>0</v>
      </c>
      <c r="J179" s="13">
        <v>26.166666666666671</v>
      </c>
      <c r="K179" s="13">
        <f t="shared" ca="1" si="17"/>
        <v>131</v>
      </c>
      <c r="L179" s="1">
        <v>60</v>
      </c>
      <c r="M179" s="13">
        <f t="shared" ca="1" si="18"/>
        <v>71</v>
      </c>
      <c r="N179" s="13">
        <f>SUMIFS('Leave Tracker'!F:F,'Leave Tracker'!A:A,'Annual Leave Balance'!A179,'Leave Tracker'!C:C,"Annual Leave")</f>
        <v>0</v>
      </c>
      <c r="O179" s="13">
        <f t="shared" ca="1" si="19"/>
        <v>71</v>
      </c>
    </row>
    <row r="180" spans="1:15" hidden="1" x14ac:dyDescent="0.3">
      <c r="A180" s="1">
        <v>2517</v>
      </c>
      <c r="B180" s="14" t="s">
        <v>307</v>
      </c>
      <c r="C180" s="14" t="s">
        <v>68</v>
      </c>
      <c r="D180" s="15">
        <v>44603</v>
      </c>
      <c r="E180" s="15">
        <f t="shared" ca="1" si="20"/>
        <v>46195</v>
      </c>
      <c r="F180" s="1">
        <f t="shared" ca="1" si="15"/>
        <v>1592</v>
      </c>
      <c r="G180" s="1">
        <f t="shared" ca="1" si="16"/>
        <v>1564</v>
      </c>
      <c r="H180" s="1">
        <v>13</v>
      </c>
      <c r="I180" s="1">
        <v>15</v>
      </c>
      <c r="J180" s="13">
        <v>85.5</v>
      </c>
      <c r="K180" s="13">
        <f t="shared" ca="1" si="17"/>
        <v>130.33333333333331</v>
      </c>
      <c r="L180" s="1">
        <v>0</v>
      </c>
      <c r="M180" s="13">
        <f t="shared" ca="1" si="18"/>
        <v>130.33333333333331</v>
      </c>
      <c r="N180" s="13">
        <f>SUMIFS('Leave Tracker'!F:F,'Leave Tracker'!A:A,'Annual Leave Balance'!A180,'Leave Tracker'!C:C,"Annual Leave")</f>
        <v>0</v>
      </c>
      <c r="O180" s="13">
        <f t="shared" ca="1" si="19"/>
        <v>130.33333333333331</v>
      </c>
    </row>
    <row r="181" spans="1:15" hidden="1" x14ac:dyDescent="0.3">
      <c r="A181" s="1">
        <v>2518</v>
      </c>
      <c r="B181" s="14" t="s">
        <v>308</v>
      </c>
      <c r="C181" s="14" t="s">
        <v>68</v>
      </c>
      <c r="D181" s="15">
        <v>44642</v>
      </c>
      <c r="E181" s="15">
        <f t="shared" ca="1" si="20"/>
        <v>46195</v>
      </c>
      <c r="F181" s="1">
        <f t="shared" ca="1" si="15"/>
        <v>1553</v>
      </c>
      <c r="G181" s="1">
        <f t="shared" ca="1" si="16"/>
        <v>1552</v>
      </c>
      <c r="H181" s="1">
        <v>1</v>
      </c>
      <c r="I181" s="1">
        <v>0</v>
      </c>
      <c r="J181" s="13">
        <v>24.5</v>
      </c>
      <c r="K181" s="13">
        <f t="shared" ca="1" si="17"/>
        <v>129.33333333333331</v>
      </c>
      <c r="L181" s="1">
        <v>60</v>
      </c>
      <c r="M181" s="13">
        <f t="shared" ca="1" si="18"/>
        <v>69.333333333333314</v>
      </c>
      <c r="N181" s="13">
        <f>SUMIFS('Leave Tracker'!F:F,'Leave Tracker'!A:A,'Annual Leave Balance'!A181,'Leave Tracker'!C:C,"Annual Leave")</f>
        <v>0</v>
      </c>
      <c r="O181" s="13">
        <f t="shared" ca="1" si="19"/>
        <v>69.333333333333314</v>
      </c>
    </row>
    <row r="182" spans="1:15" hidden="1" x14ac:dyDescent="0.3">
      <c r="A182" s="1">
        <v>2520</v>
      </c>
      <c r="B182" s="14" t="s">
        <v>309</v>
      </c>
      <c r="C182" s="14" t="s">
        <v>78</v>
      </c>
      <c r="D182" s="15">
        <v>44610</v>
      </c>
      <c r="E182" s="15">
        <f t="shared" ca="1" si="20"/>
        <v>46195</v>
      </c>
      <c r="F182" s="1">
        <f t="shared" ca="1" si="15"/>
        <v>1585</v>
      </c>
      <c r="G182" s="1">
        <f t="shared" ca="1" si="16"/>
        <v>1586</v>
      </c>
      <c r="H182" s="1">
        <v>-1</v>
      </c>
      <c r="I182" s="1">
        <v>0</v>
      </c>
      <c r="J182" s="13">
        <v>25.333333333333329</v>
      </c>
      <c r="K182" s="13">
        <f t="shared" ca="1" si="17"/>
        <v>132.16666666666669</v>
      </c>
      <c r="L182" s="1">
        <v>62</v>
      </c>
      <c r="M182" s="13">
        <f t="shared" ca="1" si="18"/>
        <v>70.166666666666686</v>
      </c>
      <c r="N182" s="13">
        <f>SUMIFS('Leave Tracker'!F:F,'Leave Tracker'!A:A,'Annual Leave Balance'!A182,'Leave Tracker'!C:C,"Annual Leave")</f>
        <v>31</v>
      </c>
      <c r="O182" s="13">
        <f t="shared" ca="1" si="19"/>
        <v>39.166666666666686</v>
      </c>
    </row>
    <row r="183" spans="1:15" hidden="1" x14ac:dyDescent="0.3">
      <c r="A183" s="1">
        <v>2521</v>
      </c>
      <c r="B183" s="47" t="s">
        <v>310</v>
      </c>
      <c r="C183" s="14" t="s">
        <v>311</v>
      </c>
      <c r="D183" s="15">
        <v>44614</v>
      </c>
      <c r="E183" s="15">
        <v>46022</v>
      </c>
      <c r="F183" s="1">
        <f t="shared" si="15"/>
        <v>1408</v>
      </c>
      <c r="G183" s="1">
        <f t="shared" si="16"/>
        <v>1405</v>
      </c>
      <c r="H183" s="1">
        <v>3</v>
      </c>
      <c r="I183" s="1">
        <v>0</v>
      </c>
      <c r="J183" s="13">
        <v>25.666666666666671</v>
      </c>
      <c r="K183" s="13">
        <f t="shared" si="17"/>
        <v>117.08333333333333</v>
      </c>
      <c r="L183" s="1">
        <v>61</v>
      </c>
      <c r="M183" s="13">
        <f t="shared" si="18"/>
        <v>56.083333333333329</v>
      </c>
      <c r="N183" s="13">
        <f>SUMIFS('Leave Tracker'!F:F,'Leave Tracker'!A:A,'Annual Leave Balance'!A183,'Leave Tracker'!C:C,"Annual Leave")</f>
        <v>68</v>
      </c>
      <c r="O183" s="13">
        <f t="shared" si="19"/>
        <v>-11.916666666666671</v>
      </c>
    </row>
    <row r="184" spans="1:15" hidden="1" x14ac:dyDescent="0.3">
      <c r="A184" s="1">
        <v>2522</v>
      </c>
      <c r="B184" s="14" t="s">
        <v>312</v>
      </c>
      <c r="C184" s="14" t="s">
        <v>313</v>
      </c>
      <c r="D184" s="15">
        <v>44620</v>
      </c>
      <c r="E184" s="15">
        <f t="shared" ca="1" si="20"/>
        <v>46195</v>
      </c>
      <c r="F184" s="1">
        <f t="shared" ca="1" si="15"/>
        <v>1575</v>
      </c>
      <c r="G184" s="1">
        <f t="shared" ca="1" si="16"/>
        <v>1572</v>
      </c>
      <c r="H184" s="1">
        <v>3</v>
      </c>
      <c r="I184" s="1">
        <v>0</v>
      </c>
      <c r="J184" s="13">
        <v>26.166666666666671</v>
      </c>
      <c r="K184" s="13">
        <f t="shared" ca="1" si="17"/>
        <v>131</v>
      </c>
      <c r="L184" s="1">
        <v>60</v>
      </c>
      <c r="M184" s="13">
        <f t="shared" ca="1" si="18"/>
        <v>71</v>
      </c>
      <c r="N184" s="13">
        <f>SUMIFS('Leave Tracker'!F:F,'Leave Tracker'!A:A,'Annual Leave Balance'!A184,'Leave Tracker'!C:C,"Annual Leave")</f>
        <v>0</v>
      </c>
      <c r="O184" s="13">
        <f t="shared" ca="1" si="19"/>
        <v>71</v>
      </c>
    </row>
    <row r="185" spans="1:15" hidden="1" x14ac:dyDescent="0.3">
      <c r="A185" s="1">
        <v>2523</v>
      </c>
      <c r="B185" s="14" t="s">
        <v>314</v>
      </c>
      <c r="C185" s="14" t="s">
        <v>68</v>
      </c>
      <c r="D185" s="15">
        <v>44636</v>
      </c>
      <c r="E185" s="15">
        <f t="shared" ca="1" si="20"/>
        <v>46195</v>
      </c>
      <c r="F185" s="1">
        <f t="shared" ca="1" si="15"/>
        <v>1559</v>
      </c>
      <c r="G185" s="1">
        <f t="shared" ca="1" si="16"/>
        <v>1559</v>
      </c>
      <c r="H185" s="1">
        <v>0</v>
      </c>
      <c r="I185" s="1">
        <v>0</v>
      </c>
      <c r="J185" s="13">
        <v>25.083333333333343</v>
      </c>
      <c r="K185" s="13">
        <f t="shared" ca="1" si="17"/>
        <v>129.91666666666669</v>
      </c>
      <c r="L185" s="1">
        <v>60</v>
      </c>
      <c r="M185" s="13">
        <f t="shared" ca="1" si="18"/>
        <v>69.916666666666686</v>
      </c>
      <c r="N185" s="13">
        <f>SUMIFS('Leave Tracker'!F:F,'Leave Tracker'!A:A,'Annual Leave Balance'!A185,'Leave Tracker'!C:C,"Annual Leave")</f>
        <v>0</v>
      </c>
      <c r="O185" s="13">
        <f t="shared" ca="1" si="19"/>
        <v>69.916666666666686</v>
      </c>
    </row>
    <row r="186" spans="1:15" hidden="1" x14ac:dyDescent="0.3">
      <c r="A186" s="1">
        <v>2526</v>
      </c>
      <c r="B186" s="14" t="s">
        <v>315</v>
      </c>
      <c r="C186" s="14" t="s">
        <v>316</v>
      </c>
      <c r="D186" s="15">
        <v>44610</v>
      </c>
      <c r="E186" s="15">
        <v>45908</v>
      </c>
      <c r="F186" s="1">
        <f t="shared" si="15"/>
        <v>1298</v>
      </c>
      <c r="G186" s="1">
        <f t="shared" si="16"/>
        <v>1277</v>
      </c>
      <c r="H186" s="1">
        <v>6</v>
      </c>
      <c r="I186" s="1">
        <v>15</v>
      </c>
      <c r="J186" s="13">
        <v>9.75</v>
      </c>
      <c r="K186" s="13">
        <f t="shared" si="17"/>
        <v>106.41666666666666</v>
      </c>
      <c r="L186" s="1">
        <v>77</v>
      </c>
      <c r="M186" s="13">
        <f t="shared" si="18"/>
        <v>29.416666666666657</v>
      </c>
      <c r="N186" s="13">
        <f>SUMIFS('Leave Tracker'!F:F,'Leave Tracker'!A:A,'Annual Leave Balance'!A186,'Leave Tracker'!C:C,"Annual Leave")</f>
        <v>30</v>
      </c>
      <c r="O186" s="13">
        <f t="shared" si="19"/>
        <v>-0.58333333333334281</v>
      </c>
    </row>
    <row r="187" spans="1:15" hidden="1" x14ac:dyDescent="0.3">
      <c r="A187" s="1">
        <v>2531</v>
      </c>
      <c r="B187" s="14" t="s">
        <v>317</v>
      </c>
      <c r="C187" s="14" t="s">
        <v>68</v>
      </c>
      <c r="D187" s="15">
        <v>44642</v>
      </c>
      <c r="E187" s="15">
        <f t="shared" ref="E187:E218" ca="1" si="21">TODAY()</f>
        <v>46195</v>
      </c>
      <c r="F187" s="1">
        <f t="shared" ca="1" si="15"/>
        <v>1553</v>
      </c>
      <c r="G187" s="1">
        <f t="shared" ca="1" si="16"/>
        <v>1534</v>
      </c>
      <c r="H187" s="1">
        <v>19</v>
      </c>
      <c r="I187" s="1">
        <v>0</v>
      </c>
      <c r="J187" s="13">
        <v>22</v>
      </c>
      <c r="K187" s="13">
        <f t="shared" ca="1" si="17"/>
        <v>127.83333333333333</v>
      </c>
      <c r="L187" s="1">
        <v>61</v>
      </c>
      <c r="M187" s="13">
        <f t="shared" ca="1" si="18"/>
        <v>66.833333333333329</v>
      </c>
      <c r="N187" s="13">
        <f>SUMIFS('Leave Tracker'!F:F,'Leave Tracker'!A:A,'Annual Leave Balance'!A187,'Leave Tracker'!C:C,"Annual Leave")</f>
        <v>0</v>
      </c>
      <c r="O187" s="13">
        <f t="shared" ca="1" si="19"/>
        <v>66.833333333333329</v>
      </c>
    </row>
    <row r="188" spans="1:15" hidden="1" x14ac:dyDescent="0.3">
      <c r="A188" s="1">
        <v>2534</v>
      </c>
      <c r="B188" s="14" t="s">
        <v>318</v>
      </c>
      <c r="C188" s="14" t="s">
        <v>68</v>
      </c>
      <c r="D188" s="15">
        <v>44649</v>
      </c>
      <c r="E188" s="15">
        <f t="shared" ca="1" si="21"/>
        <v>46195</v>
      </c>
      <c r="F188" s="1">
        <f t="shared" ca="1" si="15"/>
        <v>1546</v>
      </c>
      <c r="G188" s="1">
        <f t="shared" ca="1" si="16"/>
        <v>1526</v>
      </c>
      <c r="H188" s="1">
        <v>-1</v>
      </c>
      <c r="I188" s="1">
        <v>21</v>
      </c>
      <c r="J188" s="13">
        <v>22.333333333333329</v>
      </c>
      <c r="K188" s="13">
        <f t="shared" ca="1" si="17"/>
        <v>127.16666666666667</v>
      </c>
      <c r="L188" s="1">
        <v>60</v>
      </c>
      <c r="M188" s="13">
        <f t="shared" ca="1" si="18"/>
        <v>67.166666666666671</v>
      </c>
      <c r="N188" s="13">
        <f>SUMIFS('Leave Tracker'!F:F,'Leave Tracker'!A:A,'Annual Leave Balance'!A188,'Leave Tracker'!C:C,"Annual Leave")</f>
        <v>63</v>
      </c>
      <c r="O188" s="13">
        <f t="shared" ca="1" si="19"/>
        <v>4.1666666666666714</v>
      </c>
    </row>
    <row r="189" spans="1:15" hidden="1" x14ac:dyDescent="0.3">
      <c r="A189" s="1">
        <v>2535</v>
      </c>
      <c r="B189" s="14" t="s">
        <v>319</v>
      </c>
      <c r="C189" s="14" t="s">
        <v>68</v>
      </c>
      <c r="D189" s="15">
        <v>44649</v>
      </c>
      <c r="E189" s="15">
        <f t="shared" ca="1" si="21"/>
        <v>46195</v>
      </c>
      <c r="F189" s="1">
        <f t="shared" ca="1" si="15"/>
        <v>1546</v>
      </c>
      <c r="G189" s="1">
        <f t="shared" ca="1" si="16"/>
        <v>1546</v>
      </c>
      <c r="H189" s="1">
        <v>0</v>
      </c>
      <c r="I189" s="1">
        <v>0</v>
      </c>
      <c r="J189" s="13">
        <v>84</v>
      </c>
      <c r="K189" s="13">
        <f t="shared" ca="1" si="17"/>
        <v>128.83333333333331</v>
      </c>
      <c r="L189" s="1">
        <v>0</v>
      </c>
      <c r="M189" s="13">
        <f t="shared" ca="1" si="18"/>
        <v>128.83333333333331</v>
      </c>
      <c r="N189" s="13">
        <f>SUMIFS('Leave Tracker'!F:F,'Leave Tracker'!A:A,'Annual Leave Balance'!A189,'Leave Tracker'!C:C,"Annual Leave")</f>
        <v>61</v>
      </c>
      <c r="O189" s="13">
        <f t="shared" ca="1" si="19"/>
        <v>67.833333333333314</v>
      </c>
    </row>
    <row r="190" spans="1:15" hidden="1" x14ac:dyDescent="0.3">
      <c r="A190" s="1">
        <v>2536</v>
      </c>
      <c r="B190" s="14" t="s">
        <v>320</v>
      </c>
      <c r="C190" s="14" t="s">
        <v>68</v>
      </c>
      <c r="D190" s="15">
        <v>44649</v>
      </c>
      <c r="E190" s="15">
        <f t="shared" ca="1" si="21"/>
        <v>46195</v>
      </c>
      <c r="F190" s="1">
        <f t="shared" ca="1" si="15"/>
        <v>1546</v>
      </c>
      <c r="G190" s="1">
        <f t="shared" ca="1" si="16"/>
        <v>1546</v>
      </c>
      <c r="H190" s="1">
        <v>0</v>
      </c>
      <c r="I190" s="1">
        <v>0</v>
      </c>
      <c r="J190" s="13">
        <v>24</v>
      </c>
      <c r="K190" s="13">
        <f t="shared" ca="1" si="17"/>
        <v>128.83333333333331</v>
      </c>
      <c r="L190" s="1">
        <v>60</v>
      </c>
      <c r="M190" s="13">
        <f t="shared" ca="1" si="18"/>
        <v>68.833333333333314</v>
      </c>
      <c r="N190" s="13">
        <f>SUMIFS('Leave Tracker'!F:F,'Leave Tracker'!A:A,'Annual Leave Balance'!A190,'Leave Tracker'!C:C,"Annual Leave")</f>
        <v>0</v>
      </c>
      <c r="O190" s="13">
        <f t="shared" ca="1" si="19"/>
        <v>68.833333333333314</v>
      </c>
    </row>
    <row r="191" spans="1:15" hidden="1" x14ac:dyDescent="0.3">
      <c r="A191" s="1">
        <v>2537</v>
      </c>
      <c r="B191" s="14" t="s">
        <v>321</v>
      </c>
      <c r="C191" s="14" t="s">
        <v>68</v>
      </c>
      <c r="D191" s="15">
        <v>44656</v>
      </c>
      <c r="E191" s="15">
        <f t="shared" ca="1" si="21"/>
        <v>46195</v>
      </c>
      <c r="F191" s="1">
        <f t="shared" ca="1" si="15"/>
        <v>1539</v>
      </c>
      <c r="G191" s="1">
        <f t="shared" ca="1" si="16"/>
        <v>1539</v>
      </c>
      <c r="H191" s="1">
        <v>0</v>
      </c>
      <c r="I191" s="1">
        <v>0</v>
      </c>
      <c r="J191" s="13">
        <v>21.416666666666657</v>
      </c>
      <c r="K191" s="13">
        <f t="shared" ca="1" si="17"/>
        <v>128.25</v>
      </c>
      <c r="L191" s="1">
        <v>62</v>
      </c>
      <c r="M191" s="13">
        <f t="shared" ca="1" si="18"/>
        <v>66.25</v>
      </c>
      <c r="N191" s="13">
        <f>SUMIFS('Leave Tracker'!F:F,'Leave Tracker'!A:A,'Annual Leave Balance'!A191,'Leave Tracker'!C:C,"Annual Leave")</f>
        <v>0</v>
      </c>
      <c r="O191" s="13">
        <f t="shared" ca="1" si="19"/>
        <v>66.25</v>
      </c>
    </row>
    <row r="192" spans="1:15" hidden="1" x14ac:dyDescent="0.3">
      <c r="A192" s="1">
        <v>2538</v>
      </c>
      <c r="B192" s="14" t="s">
        <v>322</v>
      </c>
      <c r="C192" s="14" t="s">
        <v>68</v>
      </c>
      <c r="D192" s="15">
        <v>44656</v>
      </c>
      <c r="E192" s="15">
        <f t="shared" ca="1" si="21"/>
        <v>46195</v>
      </c>
      <c r="F192" s="1">
        <f t="shared" ca="1" si="15"/>
        <v>1539</v>
      </c>
      <c r="G192" s="1">
        <f t="shared" ca="1" si="16"/>
        <v>1539</v>
      </c>
      <c r="H192" s="1">
        <v>0</v>
      </c>
      <c r="I192" s="1">
        <v>0</v>
      </c>
      <c r="J192" s="13">
        <v>83.416666666666657</v>
      </c>
      <c r="K192" s="13">
        <f t="shared" ca="1" si="17"/>
        <v>128.25</v>
      </c>
      <c r="L192" s="1">
        <v>0</v>
      </c>
      <c r="M192" s="13">
        <f t="shared" ca="1" si="18"/>
        <v>128.25</v>
      </c>
      <c r="N192" s="13">
        <f>SUMIFS('Leave Tracker'!F:F,'Leave Tracker'!A:A,'Annual Leave Balance'!A192,'Leave Tracker'!C:C,"Annual Leave")</f>
        <v>60</v>
      </c>
      <c r="O192" s="13">
        <f t="shared" ca="1" si="19"/>
        <v>68.25</v>
      </c>
    </row>
    <row r="193" spans="1:15" hidden="1" x14ac:dyDescent="0.3">
      <c r="A193" s="1">
        <v>2539</v>
      </c>
      <c r="B193" s="14" t="s">
        <v>323</v>
      </c>
      <c r="C193" s="14" t="s">
        <v>68</v>
      </c>
      <c r="D193" s="15">
        <v>44656</v>
      </c>
      <c r="E193" s="15">
        <f t="shared" ca="1" si="21"/>
        <v>46195</v>
      </c>
      <c r="F193" s="1">
        <f t="shared" ca="1" si="15"/>
        <v>1539</v>
      </c>
      <c r="G193" s="1">
        <f t="shared" ca="1" si="16"/>
        <v>1527</v>
      </c>
      <c r="H193" s="1">
        <v>12</v>
      </c>
      <c r="I193" s="1">
        <v>0</v>
      </c>
      <c r="J193" s="13">
        <v>20.416666666666671</v>
      </c>
      <c r="K193" s="13">
        <f t="shared" ca="1" si="17"/>
        <v>127.24999999999999</v>
      </c>
      <c r="L193" s="1">
        <v>62</v>
      </c>
      <c r="M193" s="13">
        <f t="shared" ca="1" si="18"/>
        <v>65.249999999999986</v>
      </c>
      <c r="N193" s="13">
        <f>SUMIFS('Leave Tracker'!F:F,'Leave Tracker'!A:A,'Annual Leave Balance'!A193,'Leave Tracker'!C:C,"Annual Leave")</f>
        <v>0</v>
      </c>
      <c r="O193" s="13">
        <f t="shared" ca="1" si="19"/>
        <v>65.249999999999986</v>
      </c>
    </row>
    <row r="194" spans="1:15" hidden="1" x14ac:dyDescent="0.3">
      <c r="A194" s="1">
        <v>2540</v>
      </c>
      <c r="B194" s="14" t="s">
        <v>324</v>
      </c>
      <c r="C194" s="14" t="s">
        <v>68</v>
      </c>
      <c r="D194" s="15">
        <v>44664</v>
      </c>
      <c r="E194" s="15">
        <f t="shared" ca="1" si="21"/>
        <v>46195</v>
      </c>
      <c r="F194" s="1">
        <f t="shared" ref="F194:F257" ca="1" si="22">E194-D194</f>
        <v>1531</v>
      </c>
      <c r="G194" s="1">
        <f t="shared" ref="G194:G235" ca="1" si="23">F194-(H194+I194)</f>
        <v>1442</v>
      </c>
      <c r="H194" s="1">
        <v>89</v>
      </c>
      <c r="I194" s="1">
        <v>0</v>
      </c>
      <c r="J194" s="13">
        <v>45.333333333333329</v>
      </c>
      <c r="K194" s="13">
        <f t="shared" ref="K194:K257" ca="1" si="24">G194/360*30</f>
        <v>120.16666666666667</v>
      </c>
      <c r="L194" s="1">
        <v>30</v>
      </c>
      <c r="M194" s="13">
        <f t="shared" ref="M194:M257" ca="1" si="25">K194-L194</f>
        <v>90.166666666666671</v>
      </c>
      <c r="N194" s="13">
        <f>SUMIFS('Leave Tracker'!F:F,'Leave Tracker'!A:A,'Annual Leave Balance'!A194,'Leave Tracker'!C:C,"Annual Leave")</f>
        <v>61</v>
      </c>
      <c r="O194" s="13">
        <f t="shared" ref="O194:O257" ca="1" si="26">M194-N194</f>
        <v>29.166666666666671</v>
      </c>
    </row>
    <row r="195" spans="1:15" hidden="1" x14ac:dyDescent="0.3">
      <c r="A195" s="1">
        <v>2542</v>
      </c>
      <c r="B195" s="14" t="s">
        <v>325</v>
      </c>
      <c r="C195" s="14" t="s">
        <v>68</v>
      </c>
      <c r="D195" s="15">
        <v>44664</v>
      </c>
      <c r="E195" s="15">
        <f t="shared" ca="1" si="21"/>
        <v>46195</v>
      </c>
      <c r="F195" s="1">
        <f t="shared" ca="1" si="22"/>
        <v>1531</v>
      </c>
      <c r="G195" s="1">
        <f t="shared" ca="1" si="23"/>
        <v>1531</v>
      </c>
      <c r="H195" s="1">
        <v>0</v>
      </c>
      <c r="I195" s="1">
        <v>0</v>
      </c>
      <c r="J195" s="13">
        <v>82.75</v>
      </c>
      <c r="K195" s="13">
        <f t="shared" ca="1" si="24"/>
        <v>127.58333333333334</v>
      </c>
      <c r="L195" s="1">
        <v>0</v>
      </c>
      <c r="M195" s="13">
        <f t="shared" ca="1" si="25"/>
        <v>127.58333333333334</v>
      </c>
      <c r="N195" s="13">
        <f>SUMIFS('Leave Tracker'!F:F,'Leave Tracker'!A:A,'Annual Leave Balance'!A195,'Leave Tracker'!C:C,"Annual Leave")</f>
        <v>124</v>
      </c>
      <c r="O195" s="13">
        <f t="shared" ca="1" si="26"/>
        <v>3.5833333333333428</v>
      </c>
    </row>
    <row r="196" spans="1:15" hidden="1" x14ac:dyDescent="0.3">
      <c r="A196" s="1">
        <v>2543</v>
      </c>
      <c r="B196" s="14" t="s">
        <v>326</v>
      </c>
      <c r="C196" s="14" t="s">
        <v>68</v>
      </c>
      <c r="D196" s="15">
        <v>44671</v>
      </c>
      <c r="E196" s="15">
        <f t="shared" ca="1" si="21"/>
        <v>46195</v>
      </c>
      <c r="F196" s="1">
        <f t="shared" ca="1" si="22"/>
        <v>1524</v>
      </c>
      <c r="G196" s="1">
        <f t="shared" ca="1" si="23"/>
        <v>1484</v>
      </c>
      <c r="H196" s="1">
        <v>40</v>
      </c>
      <c r="I196" s="1">
        <v>0</v>
      </c>
      <c r="J196" s="13">
        <v>18.833333333333329</v>
      </c>
      <c r="K196" s="13">
        <f t="shared" ca="1" si="24"/>
        <v>123.66666666666666</v>
      </c>
      <c r="L196" s="1">
        <v>60</v>
      </c>
      <c r="M196" s="13">
        <f t="shared" ca="1" si="25"/>
        <v>63.666666666666657</v>
      </c>
      <c r="N196" s="13">
        <f>SUMIFS('Leave Tracker'!F:F,'Leave Tracker'!A:A,'Annual Leave Balance'!A196,'Leave Tracker'!C:C,"Annual Leave")</f>
        <v>60</v>
      </c>
      <c r="O196" s="13">
        <f t="shared" ca="1" si="26"/>
        <v>3.6666666666666572</v>
      </c>
    </row>
    <row r="197" spans="1:15" hidden="1" x14ac:dyDescent="0.3">
      <c r="A197" s="1">
        <v>2545</v>
      </c>
      <c r="B197" s="14" t="s">
        <v>327</v>
      </c>
      <c r="C197" s="14" t="s">
        <v>328</v>
      </c>
      <c r="D197" s="15">
        <v>44671</v>
      </c>
      <c r="E197" s="15">
        <f t="shared" ca="1" si="21"/>
        <v>46195</v>
      </c>
      <c r="F197" s="1">
        <f t="shared" ca="1" si="22"/>
        <v>1524</v>
      </c>
      <c r="G197" s="1">
        <f t="shared" ca="1" si="23"/>
        <v>1508</v>
      </c>
      <c r="H197" s="1">
        <v>16</v>
      </c>
      <c r="I197" s="1">
        <v>0</v>
      </c>
      <c r="J197" s="13">
        <v>40.25</v>
      </c>
      <c r="K197" s="13">
        <f t="shared" ca="1" si="24"/>
        <v>125.66666666666667</v>
      </c>
      <c r="L197" s="1">
        <v>41</v>
      </c>
      <c r="M197" s="13">
        <f t="shared" ca="1" si="25"/>
        <v>84.666666666666671</v>
      </c>
      <c r="N197" s="13">
        <f>SUMIFS('Leave Tracker'!F:F,'Leave Tracker'!A:A,'Annual Leave Balance'!A197,'Leave Tracker'!C:C,"Annual Leave")</f>
        <v>32</v>
      </c>
      <c r="O197" s="13">
        <f t="shared" ca="1" si="26"/>
        <v>52.666666666666671</v>
      </c>
    </row>
    <row r="198" spans="1:15" hidden="1" x14ac:dyDescent="0.3">
      <c r="A198" s="1">
        <v>2546</v>
      </c>
      <c r="B198" s="14" t="s">
        <v>329</v>
      </c>
      <c r="C198" s="14" t="s">
        <v>68</v>
      </c>
      <c r="D198" s="15">
        <v>44687</v>
      </c>
      <c r="E198" s="15">
        <f t="shared" ca="1" si="21"/>
        <v>46195</v>
      </c>
      <c r="F198" s="1">
        <f t="shared" ca="1" si="22"/>
        <v>1508</v>
      </c>
      <c r="G198" s="1">
        <f t="shared" ca="1" si="23"/>
        <v>1508</v>
      </c>
      <c r="H198" s="1">
        <v>0</v>
      </c>
      <c r="I198" s="1">
        <v>0</v>
      </c>
      <c r="J198" s="13">
        <v>19.833333333333343</v>
      </c>
      <c r="K198" s="13">
        <f t="shared" ca="1" si="24"/>
        <v>125.66666666666667</v>
      </c>
      <c r="L198" s="1">
        <v>61</v>
      </c>
      <c r="M198" s="13">
        <f t="shared" ca="1" si="25"/>
        <v>64.666666666666671</v>
      </c>
      <c r="N198" s="13">
        <f>SUMIFS('Leave Tracker'!F:F,'Leave Tracker'!A:A,'Annual Leave Balance'!A198,'Leave Tracker'!C:C,"Annual Leave")</f>
        <v>0</v>
      </c>
      <c r="O198" s="13">
        <f t="shared" ca="1" si="26"/>
        <v>64.666666666666671</v>
      </c>
    </row>
    <row r="199" spans="1:15" hidden="1" x14ac:dyDescent="0.3">
      <c r="A199" s="1">
        <v>2550</v>
      </c>
      <c r="B199" s="14" t="s">
        <v>330</v>
      </c>
      <c r="C199" s="14" t="s">
        <v>331</v>
      </c>
      <c r="D199" s="15">
        <v>44708</v>
      </c>
      <c r="E199" s="15">
        <f t="shared" ca="1" si="21"/>
        <v>46195</v>
      </c>
      <c r="F199" s="1">
        <f t="shared" ca="1" si="22"/>
        <v>1487</v>
      </c>
      <c r="G199" s="1">
        <f t="shared" ca="1" si="23"/>
        <v>1485</v>
      </c>
      <c r="H199" s="1">
        <v>2</v>
      </c>
      <c r="I199" s="1">
        <v>0</v>
      </c>
      <c r="J199" s="13">
        <v>54.916666666666671</v>
      </c>
      <c r="K199" s="13">
        <f t="shared" ca="1" si="24"/>
        <v>123.75</v>
      </c>
      <c r="L199" s="1">
        <v>24</v>
      </c>
      <c r="M199" s="13">
        <f t="shared" ca="1" si="25"/>
        <v>99.75</v>
      </c>
      <c r="N199" s="13">
        <f>SUMIFS('Leave Tracker'!F:F,'Leave Tracker'!A:A,'Annual Leave Balance'!A199,'Leave Tracker'!C:C,"Annual Leave")</f>
        <v>22</v>
      </c>
      <c r="O199" s="13">
        <f t="shared" ca="1" si="26"/>
        <v>77.75</v>
      </c>
    </row>
    <row r="200" spans="1:15" hidden="1" x14ac:dyDescent="0.3">
      <c r="A200" s="1">
        <v>2553</v>
      </c>
      <c r="B200" s="14" t="s">
        <v>332</v>
      </c>
      <c r="C200" s="14" t="s">
        <v>68</v>
      </c>
      <c r="D200" s="15">
        <v>44719</v>
      </c>
      <c r="E200" s="15">
        <f t="shared" ca="1" si="21"/>
        <v>46195</v>
      </c>
      <c r="F200" s="1">
        <f t="shared" ca="1" si="22"/>
        <v>1476</v>
      </c>
      <c r="G200" s="1">
        <f t="shared" ca="1" si="23"/>
        <v>1476</v>
      </c>
      <c r="H200" s="1">
        <v>0</v>
      </c>
      <c r="I200" s="1">
        <v>0</v>
      </c>
      <c r="J200" s="13">
        <v>18.166666666666671</v>
      </c>
      <c r="K200" s="13">
        <f t="shared" ca="1" si="24"/>
        <v>122.99999999999999</v>
      </c>
      <c r="L200" s="1">
        <v>60</v>
      </c>
      <c r="M200" s="13">
        <f t="shared" ca="1" si="25"/>
        <v>62.999999999999986</v>
      </c>
      <c r="N200" s="13">
        <f>SUMIFS('Leave Tracker'!F:F,'Leave Tracker'!A:A,'Annual Leave Balance'!A200,'Leave Tracker'!C:C,"Annual Leave")</f>
        <v>0</v>
      </c>
      <c r="O200" s="13">
        <f t="shared" ca="1" si="26"/>
        <v>62.999999999999986</v>
      </c>
    </row>
    <row r="201" spans="1:15" hidden="1" x14ac:dyDescent="0.3">
      <c r="A201" s="1">
        <v>2554</v>
      </c>
      <c r="B201" s="14" t="s">
        <v>333</v>
      </c>
      <c r="C201" s="14" t="s">
        <v>68</v>
      </c>
      <c r="D201" s="15">
        <v>44719</v>
      </c>
      <c r="E201" s="15">
        <f t="shared" ca="1" si="21"/>
        <v>46195</v>
      </c>
      <c r="F201" s="1">
        <f t="shared" ca="1" si="22"/>
        <v>1476</v>
      </c>
      <c r="G201" s="1">
        <f t="shared" ca="1" si="23"/>
        <v>1476</v>
      </c>
      <c r="H201" s="1">
        <v>0</v>
      </c>
      <c r="I201" s="1">
        <v>0</v>
      </c>
      <c r="J201" s="13">
        <v>78.166666666666671</v>
      </c>
      <c r="K201" s="13">
        <f t="shared" ca="1" si="24"/>
        <v>122.99999999999999</v>
      </c>
      <c r="L201" s="1">
        <v>0</v>
      </c>
      <c r="M201" s="13">
        <f t="shared" ca="1" si="25"/>
        <v>122.99999999999999</v>
      </c>
      <c r="N201" s="13">
        <f>SUMIFS('Leave Tracker'!F:F,'Leave Tracker'!A:A,'Annual Leave Balance'!A201,'Leave Tracker'!C:C,"Annual Leave")</f>
        <v>60</v>
      </c>
      <c r="O201" s="13">
        <f t="shared" ca="1" si="26"/>
        <v>62.999999999999986</v>
      </c>
    </row>
    <row r="202" spans="1:15" hidden="1" x14ac:dyDescent="0.3">
      <c r="A202" s="1">
        <v>2555</v>
      </c>
      <c r="B202" s="14" t="s">
        <v>334</v>
      </c>
      <c r="C202" s="14" t="s">
        <v>68</v>
      </c>
      <c r="D202" s="15">
        <v>44719</v>
      </c>
      <c r="E202" s="15">
        <f t="shared" ca="1" si="21"/>
        <v>46195</v>
      </c>
      <c r="F202" s="1">
        <f t="shared" ca="1" si="22"/>
        <v>1476</v>
      </c>
      <c r="G202" s="1">
        <f t="shared" ca="1" si="23"/>
        <v>1476</v>
      </c>
      <c r="H202" s="1">
        <v>0</v>
      </c>
      <c r="I202" s="1">
        <v>0</v>
      </c>
      <c r="J202" s="13">
        <v>18.166666666666671</v>
      </c>
      <c r="K202" s="13">
        <f t="shared" ca="1" si="24"/>
        <v>122.99999999999999</v>
      </c>
      <c r="L202" s="1">
        <v>60</v>
      </c>
      <c r="M202" s="13">
        <f t="shared" ca="1" si="25"/>
        <v>62.999999999999986</v>
      </c>
      <c r="N202" s="13">
        <f>SUMIFS('Leave Tracker'!F:F,'Leave Tracker'!A:A,'Annual Leave Balance'!A202,'Leave Tracker'!C:C,"Annual Leave")</f>
        <v>0</v>
      </c>
      <c r="O202" s="13">
        <f t="shared" ca="1" si="26"/>
        <v>62.999999999999986</v>
      </c>
    </row>
    <row r="203" spans="1:15" hidden="1" x14ac:dyDescent="0.3">
      <c r="A203" s="1">
        <v>2556</v>
      </c>
      <c r="B203" s="14" t="s">
        <v>335</v>
      </c>
      <c r="C203" s="14" t="s">
        <v>336</v>
      </c>
      <c r="D203" s="15">
        <v>44721</v>
      </c>
      <c r="E203" s="15">
        <v>45915</v>
      </c>
      <c r="F203" s="1">
        <f t="shared" si="22"/>
        <v>1194</v>
      </c>
      <c r="G203" s="1">
        <f t="shared" si="23"/>
        <v>1131</v>
      </c>
      <c r="H203" s="1">
        <v>63</v>
      </c>
      <c r="I203" s="1">
        <v>0</v>
      </c>
      <c r="J203" s="13">
        <v>65</v>
      </c>
      <c r="K203" s="13">
        <f t="shared" si="24"/>
        <v>94.25</v>
      </c>
      <c r="L203" s="1">
        <v>32</v>
      </c>
      <c r="M203" s="13">
        <f t="shared" si="25"/>
        <v>62.25</v>
      </c>
      <c r="N203" s="13">
        <f>SUMIFS('Leave Tracker'!F:F,'Leave Tracker'!A:A,'Annual Leave Balance'!A203,'Leave Tracker'!C:C,"Annual Leave")</f>
        <v>28</v>
      </c>
      <c r="O203" s="13">
        <f t="shared" si="26"/>
        <v>34.25</v>
      </c>
    </row>
    <row r="204" spans="1:15" hidden="1" x14ac:dyDescent="0.3">
      <c r="A204" s="1">
        <v>2558</v>
      </c>
      <c r="B204" s="14" t="s">
        <v>337</v>
      </c>
      <c r="C204" s="14" t="s">
        <v>68</v>
      </c>
      <c r="D204" s="15">
        <v>44729</v>
      </c>
      <c r="E204" s="15">
        <f t="shared" ca="1" si="21"/>
        <v>46195</v>
      </c>
      <c r="F204" s="1">
        <f t="shared" ca="1" si="22"/>
        <v>1466</v>
      </c>
      <c r="G204" s="1">
        <f t="shared" ca="1" si="23"/>
        <v>1466</v>
      </c>
      <c r="H204" s="1">
        <v>0</v>
      </c>
      <c r="I204" s="1">
        <v>0</v>
      </c>
      <c r="J204" s="13">
        <v>77.333333333333343</v>
      </c>
      <c r="K204" s="13">
        <f t="shared" ca="1" si="24"/>
        <v>122.16666666666666</v>
      </c>
      <c r="L204" s="1">
        <v>0</v>
      </c>
      <c r="M204" s="13">
        <f t="shared" ca="1" si="25"/>
        <v>122.16666666666666</v>
      </c>
      <c r="N204" s="13">
        <f>SUMIFS('Leave Tracker'!F:F,'Leave Tracker'!A:A,'Annual Leave Balance'!A204,'Leave Tracker'!C:C,"Annual Leave")</f>
        <v>60</v>
      </c>
      <c r="O204" s="13">
        <f t="shared" ca="1" si="26"/>
        <v>62.166666666666657</v>
      </c>
    </row>
    <row r="205" spans="1:15" hidden="1" x14ac:dyDescent="0.3">
      <c r="A205" s="1">
        <v>2559</v>
      </c>
      <c r="B205" s="14" t="s">
        <v>338</v>
      </c>
      <c r="C205" s="14" t="s">
        <v>179</v>
      </c>
      <c r="D205" s="15">
        <v>44725</v>
      </c>
      <c r="E205" s="15">
        <f t="shared" ca="1" si="21"/>
        <v>46195</v>
      </c>
      <c r="F205" s="1">
        <f t="shared" ca="1" si="22"/>
        <v>1470</v>
      </c>
      <c r="G205" s="1">
        <f t="shared" ca="1" si="23"/>
        <v>1470</v>
      </c>
      <c r="H205" s="1">
        <v>0</v>
      </c>
      <c r="I205" s="1">
        <v>0</v>
      </c>
      <c r="J205" s="13">
        <v>17.666666666666671</v>
      </c>
      <c r="K205" s="13">
        <f t="shared" ca="1" si="24"/>
        <v>122.49999999999999</v>
      </c>
      <c r="L205" s="1">
        <v>60</v>
      </c>
      <c r="M205" s="13">
        <f t="shared" ca="1" si="25"/>
        <v>62.499999999999986</v>
      </c>
      <c r="N205" s="13">
        <f>SUMIFS('Leave Tracker'!F:F,'Leave Tracker'!A:A,'Annual Leave Balance'!A205,'Leave Tracker'!C:C,"Annual Leave")</f>
        <v>0</v>
      </c>
      <c r="O205" s="13">
        <f t="shared" ca="1" si="26"/>
        <v>62.499999999999986</v>
      </c>
    </row>
    <row r="206" spans="1:15" hidden="1" x14ac:dyDescent="0.3">
      <c r="A206" s="1">
        <v>2565</v>
      </c>
      <c r="B206" s="14" t="s">
        <v>339</v>
      </c>
      <c r="C206" s="14" t="s">
        <v>340</v>
      </c>
      <c r="D206" s="15">
        <v>44761</v>
      </c>
      <c r="E206" s="15">
        <f t="shared" ca="1" si="21"/>
        <v>46195</v>
      </c>
      <c r="F206" s="1">
        <f t="shared" ca="1" si="22"/>
        <v>1434</v>
      </c>
      <c r="G206" s="1">
        <f t="shared" ca="1" si="23"/>
        <v>1416</v>
      </c>
      <c r="H206" s="1">
        <v>18</v>
      </c>
      <c r="I206" s="1">
        <v>0</v>
      </c>
      <c r="J206" s="13">
        <v>14.166666666666671</v>
      </c>
      <c r="K206" s="13">
        <f t="shared" ca="1" si="24"/>
        <v>118</v>
      </c>
      <c r="L206" s="1">
        <v>59</v>
      </c>
      <c r="M206" s="13">
        <f t="shared" ca="1" si="25"/>
        <v>59</v>
      </c>
      <c r="N206" s="13">
        <f>SUMIFS('Leave Tracker'!F:F,'Leave Tracker'!A:A,'Annual Leave Balance'!A206,'Leave Tracker'!C:C,"Annual Leave")</f>
        <v>22</v>
      </c>
      <c r="O206" s="13">
        <f t="shared" ca="1" si="26"/>
        <v>37</v>
      </c>
    </row>
    <row r="207" spans="1:15" hidden="1" x14ac:dyDescent="0.3">
      <c r="A207" s="1">
        <v>2566</v>
      </c>
      <c r="B207" s="14" t="s">
        <v>341</v>
      </c>
      <c r="C207" s="14" t="s">
        <v>68</v>
      </c>
      <c r="D207" s="15">
        <v>44761</v>
      </c>
      <c r="E207" s="15">
        <f t="shared" ca="1" si="21"/>
        <v>46195</v>
      </c>
      <c r="F207" s="1">
        <f t="shared" ca="1" si="22"/>
        <v>1434</v>
      </c>
      <c r="G207" s="1">
        <f t="shared" ca="1" si="23"/>
        <v>1434</v>
      </c>
      <c r="H207" s="1">
        <v>0</v>
      </c>
      <c r="I207" s="1">
        <v>0</v>
      </c>
      <c r="J207" s="13">
        <v>14.666666666666671</v>
      </c>
      <c r="K207" s="13">
        <f t="shared" ca="1" si="24"/>
        <v>119.5</v>
      </c>
      <c r="L207" s="1">
        <v>60</v>
      </c>
      <c r="M207" s="13">
        <f t="shared" ca="1" si="25"/>
        <v>59.5</v>
      </c>
      <c r="N207" s="13">
        <f>SUMIFS('Leave Tracker'!F:F,'Leave Tracker'!A:A,'Annual Leave Balance'!A207,'Leave Tracker'!C:C,"Annual Leave")</f>
        <v>0</v>
      </c>
      <c r="O207" s="13">
        <f t="shared" ca="1" si="26"/>
        <v>59.5</v>
      </c>
    </row>
    <row r="208" spans="1:15" hidden="1" x14ac:dyDescent="0.3">
      <c r="A208" s="1">
        <v>2567</v>
      </c>
      <c r="B208" s="14" t="s">
        <v>342</v>
      </c>
      <c r="C208" s="14" t="s">
        <v>343</v>
      </c>
      <c r="D208" s="15">
        <v>44768</v>
      </c>
      <c r="E208" s="15">
        <f t="shared" ca="1" si="21"/>
        <v>46195</v>
      </c>
      <c r="F208" s="1">
        <f t="shared" ca="1" si="22"/>
        <v>1427</v>
      </c>
      <c r="G208" s="1">
        <f t="shared" ca="1" si="23"/>
        <v>1422</v>
      </c>
      <c r="H208" s="1">
        <v>0</v>
      </c>
      <c r="I208" s="1">
        <v>5</v>
      </c>
      <c r="J208" s="13">
        <v>73.666666666666671</v>
      </c>
      <c r="K208" s="13">
        <f t="shared" ca="1" si="24"/>
        <v>118.5</v>
      </c>
      <c r="L208" s="1">
        <v>0</v>
      </c>
      <c r="M208" s="13">
        <f t="shared" ca="1" si="25"/>
        <v>118.5</v>
      </c>
      <c r="N208" s="13">
        <f>SUMIFS('Leave Tracker'!F:F,'Leave Tracker'!A:A,'Annual Leave Balance'!A208,'Leave Tracker'!C:C,"Annual Leave")</f>
        <v>65</v>
      </c>
      <c r="O208" s="13">
        <f t="shared" ca="1" si="26"/>
        <v>53.5</v>
      </c>
    </row>
    <row r="209" spans="1:15" hidden="1" x14ac:dyDescent="0.3">
      <c r="A209" s="1">
        <v>2568</v>
      </c>
      <c r="B209" s="14" t="s">
        <v>344</v>
      </c>
      <c r="C209" s="14" t="s">
        <v>345</v>
      </c>
      <c r="D209" s="15">
        <v>44770</v>
      </c>
      <c r="E209" s="15">
        <f t="shared" ca="1" si="21"/>
        <v>46195</v>
      </c>
      <c r="F209" s="1">
        <f t="shared" ca="1" si="22"/>
        <v>1425</v>
      </c>
      <c r="G209" s="1">
        <f t="shared" ca="1" si="23"/>
        <v>1401</v>
      </c>
      <c r="H209" s="1">
        <v>0</v>
      </c>
      <c r="I209" s="1">
        <v>24</v>
      </c>
      <c r="J209" s="13">
        <v>10.916666666666657</v>
      </c>
      <c r="K209" s="13">
        <f t="shared" ca="1" si="24"/>
        <v>116.75</v>
      </c>
      <c r="L209" s="1">
        <v>61</v>
      </c>
      <c r="M209" s="13">
        <f t="shared" ca="1" si="25"/>
        <v>55.75</v>
      </c>
      <c r="N209" s="13">
        <f>SUMIFS('Leave Tracker'!F:F,'Leave Tracker'!A:A,'Annual Leave Balance'!A209,'Leave Tracker'!C:C,"Annual Leave")</f>
        <v>61</v>
      </c>
      <c r="O209" s="13">
        <f t="shared" ca="1" si="26"/>
        <v>-5.25</v>
      </c>
    </row>
    <row r="210" spans="1:15" hidden="1" x14ac:dyDescent="0.3">
      <c r="A210" s="1">
        <v>2570</v>
      </c>
      <c r="B210" s="14" t="s">
        <v>346</v>
      </c>
      <c r="C210" s="14" t="s">
        <v>225</v>
      </c>
      <c r="D210" s="15">
        <v>44778</v>
      </c>
      <c r="E210" s="15">
        <f t="shared" ca="1" si="21"/>
        <v>46195</v>
      </c>
      <c r="F210" s="1">
        <f t="shared" ca="1" si="22"/>
        <v>1417</v>
      </c>
      <c r="G210" s="1">
        <f t="shared" ca="1" si="23"/>
        <v>1397</v>
      </c>
      <c r="H210" s="1">
        <v>4</v>
      </c>
      <c r="I210" s="1">
        <v>16</v>
      </c>
      <c r="J210" s="13">
        <v>10.583333333333329</v>
      </c>
      <c r="K210" s="13">
        <f t="shared" ca="1" si="24"/>
        <v>116.41666666666667</v>
      </c>
      <c r="L210" s="1">
        <v>61</v>
      </c>
      <c r="M210" s="13">
        <f t="shared" ca="1" si="25"/>
        <v>55.416666666666671</v>
      </c>
      <c r="N210" s="13">
        <f>SUMIFS('Leave Tracker'!F:F,'Leave Tracker'!A:A,'Annual Leave Balance'!A210,'Leave Tracker'!C:C,"Annual Leave")</f>
        <v>0</v>
      </c>
      <c r="O210" s="13">
        <f t="shared" ca="1" si="26"/>
        <v>55.416666666666671</v>
      </c>
    </row>
    <row r="211" spans="1:15" hidden="1" x14ac:dyDescent="0.3">
      <c r="A211" s="1">
        <v>2573</v>
      </c>
      <c r="B211" s="14" t="s">
        <v>347</v>
      </c>
      <c r="C211" s="14" t="s">
        <v>348</v>
      </c>
      <c r="D211" s="15">
        <v>44774</v>
      </c>
      <c r="E211" s="15">
        <f t="shared" ca="1" si="21"/>
        <v>46195</v>
      </c>
      <c r="F211" s="1">
        <f t="shared" ca="1" si="22"/>
        <v>1421</v>
      </c>
      <c r="G211" s="1">
        <f t="shared" ca="1" si="23"/>
        <v>1421</v>
      </c>
      <c r="H211" s="1">
        <v>0</v>
      </c>
      <c r="I211" s="1">
        <v>0</v>
      </c>
      <c r="J211" s="13">
        <v>20.583333333333343</v>
      </c>
      <c r="K211" s="13">
        <f t="shared" ca="1" si="24"/>
        <v>118.41666666666667</v>
      </c>
      <c r="L211" s="1">
        <v>53</v>
      </c>
      <c r="M211" s="13">
        <f t="shared" ca="1" si="25"/>
        <v>65.416666666666671</v>
      </c>
      <c r="N211" s="13">
        <f>SUMIFS('Leave Tracker'!F:F,'Leave Tracker'!A:A,'Annual Leave Balance'!A211,'Leave Tracker'!C:C,"Annual Leave")</f>
        <v>0</v>
      </c>
      <c r="O211" s="13">
        <f t="shared" ca="1" si="26"/>
        <v>65.416666666666671</v>
      </c>
    </row>
    <row r="212" spans="1:15" hidden="1" x14ac:dyDescent="0.3">
      <c r="A212" s="1">
        <v>2575</v>
      </c>
      <c r="B212" s="14" t="s">
        <v>349</v>
      </c>
      <c r="C212" s="14" t="s">
        <v>350</v>
      </c>
      <c r="D212" s="15">
        <v>44790</v>
      </c>
      <c r="E212" s="15">
        <f t="shared" ca="1" si="21"/>
        <v>46195</v>
      </c>
      <c r="F212" s="1">
        <f t="shared" ca="1" si="22"/>
        <v>1405</v>
      </c>
      <c r="G212" s="1">
        <f t="shared" ca="1" si="23"/>
        <v>1398</v>
      </c>
      <c r="H212" s="1">
        <v>7</v>
      </c>
      <c r="I212" s="1">
        <v>0</v>
      </c>
      <c r="J212" s="13">
        <v>48.666666666666671</v>
      </c>
      <c r="K212" s="13">
        <f t="shared" ca="1" si="24"/>
        <v>116.5</v>
      </c>
      <c r="L212" s="1">
        <v>23</v>
      </c>
      <c r="M212" s="13">
        <f t="shared" ca="1" si="25"/>
        <v>93.5</v>
      </c>
      <c r="N212" s="13">
        <f>SUMIFS('Leave Tracker'!F:F,'Leave Tracker'!A:A,'Annual Leave Balance'!A212,'Leave Tracker'!C:C,"Annual Leave")</f>
        <v>19</v>
      </c>
      <c r="O212" s="13">
        <f t="shared" ca="1" si="26"/>
        <v>74.5</v>
      </c>
    </row>
    <row r="213" spans="1:15" hidden="1" x14ac:dyDescent="0.3">
      <c r="A213" s="1">
        <v>2580</v>
      </c>
      <c r="B213" s="14" t="s">
        <v>351</v>
      </c>
      <c r="C213" s="14" t="s">
        <v>352</v>
      </c>
      <c r="D213" s="15">
        <v>44809</v>
      </c>
      <c r="E213" s="15">
        <f t="shared" ca="1" si="21"/>
        <v>46195</v>
      </c>
      <c r="F213" s="1">
        <f t="shared" ca="1" si="22"/>
        <v>1386</v>
      </c>
      <c r="G213" s="1">
        <f t="shared" ca="1" si="23"/>
        <v>1381</v>
      </c>
      <c r="H213" s="1">
        <v>5</v>
      </c>
      <c r="I213" s="1">
        <v>0</v>
      </c>
      <c r="J213" s="13">
        <v>41.25</v>
      </c>
      <c r="K213" s="13">
        <f t="shared" ca="1" si="24"/>
        <v>115.08333333333334</v>
      </c>
      <c r="L213" s="1">
        <v>29</v>
      </c>
      <c r="M213" s="13">
        <f t="shared" ca="1" si="25"/>
        <v>86.083333333333343</v>
      </c>
      <c r="N213" s="13">
        <f>SUMIFS('Leave Tracker'!F:F,'Leave Tracker'!A:A,'Annual Leave Balance'!A213,'Leave Tracker'!C:C,"Annual Leave")</f>
        <v>36</v>
      </c>
      <c r="O213" s="13">
        <f t="shared" ca="1" si="26"/>
        <v>50.083333333333343</v>
      </c>
    </row>
    <row r="214" spans="1:15" hidden="1" x14ac:dyDescent="0.3">
      <c r="A214" s="1">
        <v>2582</v>
      </c>
      <c r="B214" s="14" t="s">
        <v>353</v>
      </c>
      <c r="C214" s="14" t="s">
        <v>354</v>
      </c>
      <c r="D214" s="15">
        <v>44845</v>
      </c>
      <c r="E214" s="15">
        <f t="shared" ca="1" si="21"/>
        <v>46195</v>
      </c>
      <c r="F214" s="1">
        <f t="shared" ca="1" si="22"/>
        <v>1350</v>
      </c>
      <c r="G214" s="1">
        <f t="shared" ca="1" si="23"/>
        <v>1333</v>
      </c>
      <c r="H214" s="1">
        <v>17</v>
      </c>
      <c r="I214" s="1">
        <v>0</v>
      </c>
      <c r="J214" s="13">
        <v>35.25</v>
      </c>
      <c r="K214" s="13">
        <f t="shared" ca="1" si="24"/>
        <v>111.08333333333334</v>
      </c>
      <c r="L214" s="1">
        <v>31</v>
      </c>
      <c r="M214" s="13">
        <f t="shared" ca="1" si="25"/>
        <v>80.083333333333343</v>
      </c>
      <c r="N214" s="13">
        <f>SUMIFS('Leave Tracker'!F:F,'Leave Tracker'!A:A,'Annual Leave Balance'!A214,'Leave Tracker'!C:C,"Annual Leave")</f>
        <v>0</v>
      </c>
      <c r="O214" s="13">
        <f t="shared" ca="1" si="26"/>
        <v>80.083333333333343</v>
      </c>
    </row>
    <row r="215" spans="1:15" hidden="1" x14ac:dyDescent="0.3">
      <c r="A215" s="1">
        <v>2583</v>
      </c>
      <c r="B215" s="14" t="s">
        <v>355</v>
      </c>
      <c r="C215" s="14" t="s">
        <v>356</v>
      </c>
      <c r="D215" s="15">
        <v>44847</v>
      </c>
      <c r="E215" s="15">
        <f t="shared" ca="1" si="21"/>
        <v>46195</v>
      </c>
      <c r="F215" s="1">
        <f t="shared" ca="1" si="22"/>
        <v>1348</v>
      </c>
      <c r="G215" s="1">
        <f t="shared" ca="1" si="23"/>
        <v>1348</v>
      </c>
      <c r="H215" s="1">
        <v>0</v>
      </c>
      <c r="I215" s="1">
        <v>0</v>
      </c>
      <c r="J215" s="13">
        <v>20.5</v>
      </c>
      <c r="K215" s="13">
        <f t="shared" ca="1" si="24"/>
        <v>112.33333333333333</v>
      </c>
      <c r="L215" s="1">
        <v>47</v>
      </c>
      <c r="M215" s="13">
        <f t="shared" ca="1" si="25"/>
        <v>65.333333333333329</v>
      </c>
      <c r="N215" s="13">
        <f>SUMIFS('Leave Tracker'!F:F,'Leave Tracker'!A:A,'Annual Leave Balance'!A215,'Leave Tracker'!C:C,"Annual Leave")</f>
        <v>0</v>
      </c>
      <c r="O215" s="13">
        <f t="shared" ca="1" si="26"/>
        <v>65.333333333333329</v>
      </c>
    </row>
    <row r="216" spans="1:15" hidden="1" x14ac:dyDescent="0.3">
      <c r="A216" s="1">
        <v>2589</v>
      </c>
      <c r="B216" s="14" t="s">
        <v>357</v>
      </c>
      <c r="C216" s="14" t="s">
        <v>358</v>
      </c>
      <c r="D216" s="15">
        <v>44866</v>
      </c>
      <c r="E216" s="15">
        <f t="shared" ca="1" si="21"/>
        <v>46195</v>
      </c>
      <c r="F216" s="1">
        <f t="shared" ca="1" si="22"/>
        <v>1329</v>
      </c>
      <c r="G216" s="1">
        <f t="shared" ca="1" si="23"/>
        <v>1322</v>
      </c>
      <c r="H216" s="1">
        <v>7</v>
      </c>
      <c r="I216" s="1">
        <v>0</v>
      </c>
      <c r="J216" s="13">
        <v>33.333333333333329</v>
      </c>
      <c r="K216" s="13">
        <f t="shared" ca="1" si="24"/>
        <v>110.16666666666666</v>
      </c>
      <c r="L216" s="1">
        <v>32</v>
      </c>
      <c r="M216" s="13">
        <f t="shared" ca="1" si="25"/>
        <v>78.166666666666657</v>
      </c>
      <c r="N216" s="13">
        <f>SUMIFS('Leave Tracker'!F:F,'Leave Tracker'!A:A,'Annual Leave Balance'!A216,'Leave Tracker'!C:C,"Annual Leave")</f>
        <v>60</v>
      </c>
      <c r="O216" s="13">
        <f t="shared" ca="1" si="26"/>
        <v>18.166666666666657</v>
      </c>
    </row>
    <row r="217" spans="1:15" hidden="1" x14ac:dyDescent="0.3">
      <c r="A217" s="1">
        <v>2590</v>
      </c>
      <c r="B217" s="14" t="s">
        <v>359</v>
      </c>
      <c r="C217" s="14" t="s">
        <v>360</v>
      </c>
      <c r="D217" s="15">
        <v>44881</v>
      </c>
      <c r="E217" s="15">
        <f t="shared" ca="1" si="21"/>
        <v>46195</v>
      </c>
      <c r="F217" s="1">
        <f t="shared" ca="1" si="22"/>
        <v>1314</v>
      </c>
      <c r="G217" s="1">
        <f t="shared" ca="1" si="23"/>
        <v>1314</v>
      </c>
      <c r="H217" s="1">
        <v>0</v>
      </c>
      <c r="I217" s="1">
        <v>0</v>
      </c>
      <c r="J217" s="13">
        <v>34.666666666666657</v>
      </c>
      <c r="K217" s="13">
        <f t="shared" ca="1" si="24"/>
        <v>109.5</v>
      </c>
      <c r="L217" s="1">
        <v>30</v>
      </c>
      <c r="M217" s="13">
        <f t="shared" ca="1" si="25"/>
        <v>79.5</v>
      </c>
      <c r="N217" s="13">
        <f>SUMIFS('Leave Tracker'!F:F,'Leave Tracker'!A:A,'Annual Leave Balance'!A217,'Leave Tracker'!C:C,"Annual Leave")</f>
        <v>17</v>
      </c>
      <c r="O217" s="13">
        <f t="shared" ca="1" si="26"/>
        <v>62.5</v>
      </c>
    </row>
    <row r="218" spans="1:15" hidden="1" x14ac:dyDescent="0.3">
      <c r="A218" s="1">
        <v>2591</v>
      </c>
      <c r="B218" s="14" t="s">
        <v>361</v>
      </c>
      <c r="C218" s="14" t="s">
        <v>362</v>
      </c>
      <c r="D218" s="15">
        <v>44883</v>
      </c>
      <c r="E218" s="15">
        <f t="shared" ca="1" si="21"/>
        <v>46195</v>
      </c>
      <c r="F218" s="1">
        <f t="shared" ca="1" si="22"/>
        <v>1312</v>
      </c>
      <c r="G218" s="1">
        <f t="shared" ca="1" si="23"/>
        <v>1312</v>
      </c>
      <c r="H218" s="1">
        <v>0</v>
      </c>
      <c r="I218" s="1">
        <v>0</v>
      </c>
      <c r="J218" s="13">
        <v>0</v>
      </c>
      <c r="K218" s="13">
        <f t="shared" ca="1" si="24"/>
        <v>109.33333333333333</v>
      </c>
      <c r="L218" s="1">
        <v>0</v>
      </c>
      <c r="M218" s="13">
        <f t="shared" ca="1" si="25"/>
        <v>109.33333333333333</v>
      </c>
      <c r="N218" s="13">
        <f>SUMIFS('Leave Tracker'!F:F,'Leave Tracker'!A:A,'Annual Leave Balance'!A218,'Leave Tracker'!C:C,"Annual Leave")</f>
        <v>0</v>
      </c>
      <c r="O218" s="13">
        <f t="shared" ca="1" si="26"/>
        <v>109.33333333333333</v>
      </c>
    </row>
    <row r="219" spans="1:15" hidden="1" x14ac:dyDescent="0.3">
      <c r="A219" s="1">
        <v>2594</v>
      </c>
      <c r="B219" s="14" t="s">
        <v>363</v>
      </c>
      <c r="C219" s="14" t="s">
        <v>64</v>
      </c>
      <c r="D219" s="15">
        <v>44887</v>
      </c>
      <c r="E219" s="15">
        <f t="shared" ref="E219:E235" ca="1" si="27">TODAY()</f>
        <v>46195</v>
      </c>
      <c r="F219" s="1">
        <f t="shared" ca="1" si="22"/>
        <v>1308</v>
      </c>
      <c r="G219" s="1">
        <f t="shared" ca="1" si="23"/>
        <v>1308</v>
      </c>
      <c r="H219" s="1">
        <v>0</v>
      </c>
      <c r="I219" s="1">
        <v>0</v>
      </c>
      <c r="J219" s="13">
        <v>33.166666666666671</v>
      </c>
      <c r="K219" s="13">
        <f t="shared" ca="1" si="24"/>
        <v>109</v>
      </c>
      <c r="L219" s="1">
        <v>31</v>
      </c>
      <c r="M219" s="13">
        <f t="shared" ca="1" si="25"/>
        <v>78</v>
      </c>
      <c r="N219" s="13">
        <f>SUMIFS('Leave Tracker'!F:F,'Leave Tracker'!A:A,'Annual Leave Balance'!A219,'Leave Tracker'!C:C,"Annual Leave")</f>
        <v>41</v>
      </c>
      <c r="O219" s="13">
        <f t="shared" ca="1" si="26"/>
        <v>37</v>
      </c>
    </row>
    <row r="220" spans="1:15" hidden="1" x14ac:dyDescent="0.3">
      <c r="A220" s="1">
        <v>2595</v>
      </c>
      <c r="B220" s="14" t="s">
        <v>364</v>
      </c>
      <c r="C220" s="14" t="s">
        <v>46</v>
      </c>
      <c r="D220" s="15">
        <v>44901</v>
      </c>
      <c r="E220" s="15">
        <f t="shared" ca="1" si="27"/>
        <v>46195</v>
      </c>
      <c r="F220" s="1">
        <f t="shared" ca="1" si="22"/>
        <v>1294</v>
      </c>
      <c r="G220" s="1">
        <f t="shared" ca="1" si="23"/>
        <v>1294</v>
      </c>
      <c r="H220" s="1">
        <v>0</v>
      </c>
      <c r="I220" s="1">
        <v>0</v>
      </c>
      <c r="J220" s="13">
        <v>63</v>
      </c>
      <c r="K220" s="13">
        <f t="shared" ca="1" si="24"/>
        <v>107.83333333333334</v>
      </c>
      <c r="L220" s="1">
        <v>0</v>
      </c>
      <c r="M220" s="13">
        <f t="shared" ca="1" si="25"/>
        <v>107.83333333333334</v>
      </c>
      <c r="N220" s="13">
        <f>SUMIFS('Leave Tracker'!F:F,'Leave Tracker'!A:A,'Annual Leave Balance'!A220,'Leave Tracker'!C:C,"Annual Leave")</f>
        <v>60</v>
      </c>
      <c r="O220" s="13">
        <f t="shared" ca="1" si="26"/>
        <v>47.833333333333343</v>
      </c>
    </row>
    <row r="221" spans="1:15" hidden="1" x14ac:dyDescent="0.3">
      <c r="A221" s="1">
        <v>2596</v>
      </c>
      <c r="B221" s="14" t="s">
        <v>365</v>
      </c>
      <c r="C221" s="14" t="s">
        <v>366</v>
      </c>
      <c r="D221" s="15">
        <v>44866</v>
      </c>
      <c r="E221" s="15">
        <f t="shared" ca="1" si="27"/>
        <v>46195</v>
      </c>
      <c r="F221" s="1">
        <f t="shared" ca="1" si="22"/>
        <v>1329</v>
      </c>
      <c r="G221" s="1">
        <f t="shared" ca="1" si="23"/>
        <v>1329</v>
      </c>
      <c r="H221" s="1">
        <v>0</v>
      </c>
      <c r="I221" s="1">
        <v>0</v>
      </c>
      <c r="J221" s="13">
        <v>5.9166666666666714</v>
      </c>
      <c r="K221" s="13">
        <f t="shared" ca="1" si="24"/>
        <v>110.75</v>
      </c>
      <c r="L221" s="1">
        <v>60</v>
      </c>
      <c r="M221" s="13">
        <f t="shared" ca="1" si="25"/>
        <v>50.75</v>
      </c>
      <c r="N221" s="13">
        <f>SUMIFS('Leave Tracker'!F:F,'Leave Tracker'!A:A,'Annual Leave Balance'!A221,'Leave Tracker'!C:C,"Annual Leave")</f>
        <v>0</v>
      </c>
      <c r="O221" s="13">
        <f t="shared" ca="1" si="26"/>
        <v>50.75</v>
      </c>
    </row>
    <row r="222" spans="1:15" hidden="1" x14ac:dyDescent="0.3">
      <c r="A222" s="1">
        <v>2599</v>
      </c>
      <c r="B222" s="14" t="s">
        <v>367</v>
      </c>
      <c r="C222" s="14" t="s">
        <v>68</v>
      </c>
      <c r="D222" s="15">
        <v>44872</v>
      </c>
      <c r="E222" s="15">
        <f t="shared" ca="1" si="27"/>
        <v>46195</v>
      </c>
      <c r="F222" s="1">
        <f t="shared" ca="1" si="22"/>
        <v>1323</v>
      </c>
      <c r="G222" s="1">
        <f t="shared" ca="1" si="23"/>
        <v>1323</v>
      </c>
      <c r="H222" s="1">
        <v>0</v>
      </c>
      <c r="I222" s="1">
        <v>0</v>
      </c>
      <c r="J222" s="13">
        <v>65.416666666666657</v>
      </c>
      <c r="K222" s="13">
        <f t="shared" ca="1" si="24"/>
        <v>110.25</v>
      </c>
      <c r="L222" s="1">
        <v>0</v>
      </c>
      <c r="M222" s="13">
        <f t="shared" ca="1" si="25"/>
        <v>110.25</v>
      </c>
      <c r="N222" s="13">
        <f>SUMIFS('Leave Tracker'!F:F,'Leave Tracker'!A:A,'Annual Leave Balance'!A222,'Leave Tracker'!C:C,"Annual Leave")</f>
        <v>46</v>
      </c>
      <c r="O222" s="13">
        <f t="shared" ca="1" si="26"/>
        <v>64.25</v>
      </c>
    </row>
    <row r="223" spans="1:15" hidden="1" x14ac:dyDescent="0.3">
      <c r="A223" s="1">
        <v>2602</v>
      </c>
      <c r="B223" s="14" t="s">
        <v>368</v>
      </c>
      <c r="C223" s="14" t="s">
        <v>369</v>
      </c>
      <c r="D223" s="15">
        <v>45001</v>
      </c>
      <c r="E223" s="15">
        <f t="shared" ca="1" si="27"/>
        <v>46195</v>
      </c>
      <c r="F223" s="1">
        <f t="shared" ca="1" si="22"/>
        <v>1194</v>
      </c>
      <c r="G223" s="1">
        <f t="shared" ca="1" si="23"/>
        <v>1188</v>
      </c>
      <c r="H223" s="1">
        <v>6</v>
      </c>
      <c r="I223" s="1">
        <v>0</v>
      </c>
      <c r="J223" s="13">
        <v>28.166666666666664</v>
      </c>
      <c r="K223" s="13">
        <f t="shared" ca="1" si="24"/>
        <v>99</v>
      </c>
      <c r="L223" s="1">
        <v>26</v>
      </c>
      <c r="M223" s="13">
        <f t="shared" ca="1" si="25"/>
        <v>73</v>
      </c>
      <c r="N223" s="13">
        <f>SUMIFS('Leave Tracker'!F:F,'Leave Tracker'!A:A,'Annual Leave Balance'!A223,'Leave Tracker'!C:C,"Annual Leave")</f>
        <v>54</v>
      </c>
      <c r="O223" s="13">
        <f t="shared" ca="1" si="26"/>
        <v>19</v>
      </c>
    </row>
    <row r="224" spans="1:15" ht="15" hidden="1" x14ac:dyDescent="0.3">
      <c r="A224" s="1">
        <v>2606</v>
      </c>
      <c r="B224" s="14" t="s">
        <v>370</v>
      </c>
      <c r="C224" s="14" t="s">
        <v>371</v>
      </c>
      <c r="D224" s="15">
        <v>44423</v>
      </c>
      <c r="E224" s="15">
        <f t="shared" ca="1" si="27"/>
        <v>46195</v>
      </c>
      <c r="F224" s="1">
        <f t="shared" ca="1" si="22"/>
        <v>1772</v>
      </c>
      <c r="G224" s="1">
        <f t="shared" ca="1" si="23"/>
        <v>1772</v>
      </c>
      <c r="H224" s="1">
        <v>0</v>
      </c>
      <c r="I224" s="1">
        <v>0</v>
      </c>
      <c r="J224" s="13">
        <v>47.833333333333329</v>
      </c>
      <c r="K224" s="13">
        <f t="shared" ca="1" si="24"/>
        <v>147.66666666666669</v>
      </c>
      <c r="L224" s="1">
        <v>55</v>
      </c>
      <c r="M224" s="13">
        <f t="shared" ca="1" si="25"/>
        <v>92.666666666666686</v>
      </c>
      <c r="N224" s="13">
        <f>SUMIFS('Leave Tracker'!F:F,'Leave Tracker'!A:A,'Annual Leave Balance'!A224,'Leave Tracker'!C:C,"Annual Leave")</f>
        <v>14</v>
      </c>
      <c r="O224" s="13">
        <f t="shared" ca="1" si="26"/>
        <v>78.666666666666686</v>
      </c>
    </row>
    <row r="225" spans="1:15" hidden="1" x14ac:dyDescent="0.3">
      <c r="A225" s="1">
        <v>2609</v>
      </c>
      <c r="B225" s="14" t="s">
        <v>372</v>
      </c>
      <c r="C225" s="14" t="s">
        <v>366</v>
      </c>
      <c r="D225" s="15">
        <v>45044</v>
      </c>
      <c r="E225" s="15">
        <f t="shared" ca="1" si="27"/>
        <v>46195</v>
      </c>
      <c r="F225" s="1">
        <f t="shared" ca="1" si="22"/>
        <v>1151</v>
      </c>
      <c r="G225" s="1">
        <f t="shared" ca="1" si="23"/>
        <v>1151</v>
      </c>
      <c r="H225" s="1">
        <v>0</v>
      </c>
      <c r="I225" s="1">
        <v>0</v>
      </c>
      <c r="J225" s="13">
        <v>51.083333333333329</v>
      </c>
      <c r="K225" s="13">
        <f t="shared" ca="1" si="24"/>
        <v>95.916666666666671</v>
      </c>
      <c r="L225" s="1">
        <v>0</v>
      </c>
      <c r="M225" s="13">
        <f t="shared" ca="1" si="25"/>
        <v>95.916666666666671</v>
      </c>
      <c r="N225" s="13">
        <f>SUMIFS('Leave Tracker'!F:F,'Leave Tracker'!A:A,'Annual Leave Balance'!A225,'Leave Tracker'!C:C,"Annual Leave")</f>
        <v>61</v>
      </c>
      <c r="O225" s="13">
        <f t="shared" ca="1" si="26"/>
        <v>34.916666666666671</v>
      </c>
    </row>
    <row r="226" spans="1:15" hidden="1" x14ac:dyDescent="0.3">
      <c r="A226" s="1">
        <v>2610</v>
      </c>
      <c r="B226" s="14" t="s">
        <v>373</v>
      </c>
      <c r="C226" s="14" t="s">
        <v>374</v>
      </c>
      <c r="D226" s="15">
        <v>45068</v>
      </c>
      <c r="E226" s="15">
        <f t="shared" ca="1" si="27"/>
        <v>46195</v>
      </c>
      <c r="F226" s="1">
        <f t="shared" ca="1" si="22"/>
        <v>1127</v>
      </c>
      <c r="G226" s="1">
        <f t="shared" ca="1" si="23"/>
        <v>1127</v>
      </c>
      <c r="H226" s="1">
        <v>0</v>
      </c>
      <c r="I226" s="1">
        <v>0</v>
      </c>
      <c r="J226" s="13">
        <v>37.083333333333329</v>
      </c>
      <c r="K226" s="13">
        <f t="shared" ca="1" si="24"/>
        <v>93.916666666666671</v>
      </c>
      <c r="L226" s="1">
        <v>12</v>
      </c>
      <c r="M226" s="13">
        <f t="shared" ca="1" si="25"/>
        <v>81.916666666666671</v>
      </c>
      <c r="N226" s="13">
        <f>SUMIFS('Leave Tracker'!F:F,'Leave Tracker'!A:A,'Annual Leave Balance'!A226,'Leave Tracker'!C:C,"Annual Leave")</f>
        <v>20</v>
      </c>
      <c r="O226" s="13">
        <f t="shared" ca="1" si="26"/>
        <v>61.916666666666671</v>
      </c>
    </row>
    <row r="227" spans="1:15" hidden="1" x14ac:dyDescent="0.3">
      <c r="A227" s="1">
        <v>2611</v>
      </c>
      <c r="B227" s="14" t="s">
        <v>375</v>
      </c>
      <c r="C227" s="14" t="s">
        <v>376</v>
      </c>
      <c r="D227" s="15">
        <v>45079</v>
      </c>
      <c r="E227" s="15">
        <v>46203</v>
      </c>
      <c r="F227" s="1">
        <f t="shared" si="22"/>
        <v>1124</v>
      </c>
      <c r="G227" s="1">
        <f t="shared" si="23"/>
        <v>1124</v>
      </c>
      <c r="H227" s="1">
        <v>0</v>
      </c>
      <c r="I227" s="1">
        <v>0</v>
      </c>
      <c r="J227" s="13">
        <v>34.166666666666671</v>
      </c>
      <c r="K227" s="13">
        <f t="shared" si="24"/>
        <v>93.666666666666671</v>
      </c>
      <c r="L227" s="1">
        <v>14</v>
      </c>
      <c r="M227" s="13">
        <f t="shared" si="25"/>
        <v>79.666666666666671</v>
      </c>
      <c r="N227" s="13">
        <f>SUMIFS('Leave Tracker'!F:F,'Leave Tracker'!A:A,'Annual Leave Balance'!A227,'Leave Tracker'!C:C,"Annual Leave")</f>
        <v>49</v>
      </c>
      <c r="O227" s="13">
        <f t="shared" si="26"/>
        <v>30.666666666666671</v>
      </c>
    </row>
    <row r="228" spans="1:15" hidden="1" x14ac:dyDescent="0.3">
      <c r="A228" s="1">
        <v>2613</v>
      </c>
      <c r="B228" s="14" t="s">
        <v>377</v>
      </c>
      <c r="C228" s="14" t="s">
        <v>68</v>
      </c>
      <c r="D228" s="15">
        <v>45084</v>
      </c>
      <c r="E228" s="15">
        <f t="shared" ca="1" si="27"/>
        <v>46195</v>
      </c>
      <c r="F228" s="1">
        <f t="shared" ca="1" si="22"/>
        <v>1111</v>
      </c>
      <c r="G228" s="1">
        <f t="shared" ca="1" si="23"/>
        <v>1111</v>
      </c>
      <c r="H228" s="1">
        <v>0</v>
      </c>
      <c r="I228" s="1">
        <v>0</v>
      </c>
      <c r="J228" s="13">
        <v>47.75</v>
      </c>
      <c r="K228" s="13">
        <f t="shared" ca="1" si="24"/>
        <v>92.583333333333343</v>
      </c>
      <c r="L228" s="1">
        <v>0</v>
      </c>
      <c r="M228" s="13">
        <f t="shared" ca="1" si="25"/>
        <v>92.583333333333343</v>
      </c>
      <c r="N228" s="13">
        <f>SUMIFS('Leave Tracker'!F:F,'Leave Tracker'!A:A,'Annual Leave Balance'!A228,'Leave Tracker'!C:C,"Annual Leave")</f>
        <v>0</v>
      </c>
      <c r="O228" s="13">
        <f t="shared" ca="1" si="26"/>
        <v>92.583333333333343</v>
      </c>
    </row>
    <row r="229" spans="1:15" hidden="1" x14ac:dyDescent="0.3">
      <c r="A229" s="1">
        <v>2614</v>
      </c>
      <c r="B229" s="14" t="s">
        <v>378</v>
      </c>
      <c r="C229" s="14" t="s">
        <v>68</v>
      </c>
      <c r="D229" s="15">
        <v>45084</v>
      </c>
      <c r="E229" s="15">
        <f t="shared" ca="1" si="27"/>
        <v>46195</v>
      </c>
      <c r="F229" s="1">
        <f t="shared" ca="1" si="22"/>
        <v>1111</v>
      </c>
      <c r="G229" s="1">
        <f t="shared" ca="1" si="23"/>
        <v>1111</v>
      </c>
      <c r="H229" s="1">
        <v>0</v>
      </c>
      <c r="I229" s="1">
        <v>0</v>
      </c>
      <c r="J229" s="13">
        <v>47.75</v>
      </c>
      <c r="K229" s="13">
        <f t="shared" ca="1" si="24"/>
        <v>92.583333333333343</v>
      </c>
      <c r="L229" s="1">
        <v>0</v>
      </c>
      <c r="M229" s="13">
        <f t="shared" ca="1" si="25"/>
        <v>92.583333333333343</v>
      </c>
      <c r="N229" s="13">
        <f>SUMIFS('Leave Tracker'!F:F,'Leave Tracker'!A:A,'Annual Leave Balance'!A229,'Leave Tracker'!C:C,"Annual Leave")</f>
        <v>0</v>
      </c>
      <c r="O229" s="13">
        <f t="shared" ca="1" si="26"/>
        <v>92.583333333333343</v>
      </c>
    </row>
    <row r="230" spans="1:15" hidden="1" x14ac:dyDescent="0.3">
      <c r="A230" s="1">
        <v>2615</v>
      </c>
      <c r="B230" s="14" t="s">
        <v>379</v>
      </c>
      <c r="C230" s="14" t="s">
        <v>380</v>
      </c>
      <c r="D230" s="15">
        <v>45097</v>
      </c>
      <c r="E230" s="15">
        <v>45995</v>
      </c>
      <c r="F230" s="1">
        <f t="shared" si="22"/>
        <v>898</v>
      </c>
      <c r="G230" s="1">
        <f t="shared" si="23"/>
        <v>898</v>
      </c>
      <c r="H230" s="1">
        <v>0</v>
      </c>
      <c r="I230" s="1">
        <v>0</v>
      </c>
      <c r="J230" s="13">
        <v>0.6666666666666643</v>
      </c>
      <c r="K230" s="13">
        <f t="shared" si="24"/>
        <v>74.833333333333329</v>
      </c>
      <c r="L230" s="1">
        <v>46</v>
      </c>
      <c r="M230" s="13">
        <f t="shared" si="25"/>
        <v>28.833333333333329</v>
      </c>
      <c r="N230" s="13">
        <f>SUMIFS('Leave Tracker'!F:F,'Leave Tracker'!A:A,'Annual Leave Balance'!A230,'Leave Tracker'!C:C,"Annual Leave")</f>
        <v>0</v>
      </c>
      <c r="O230" s="13">
        <f t="shared" si="26"/>
        <v>28.833333333333329</v>
      </c>
    </row>
    <row r="231" spans="1:15" hidden="1" x14ac:dyDescent="0.3">
      <c r="A231" s="1">
        <v>2617</v>
      </c>
      <c r="B231" s="14" t="s">
        <v>381</v>
      </c>
      <c r="C231" s="14" t="s">
        <v>68</v>
      </c>
      <c r="D231" s="15">
        <v>45124</v>
      </c>
      <c r="E231" s="15">
        <f t="shared" ca="1" si="27"/>
        <v>46195</v>
      </c>
      <c r="F231" s="1">
        <f t="shared" ca="1" si="22"/>
        <v>1071</v>
      </c>
      <c r="G231" s="1">
        <f t="shared" ca="1" si="23"/>
        <v>1071</v>
      </c>
      <c r="H231" s="1">
        <v>0</v>
      </c>
      <c r="I231" s="1">
        <v>0</v>
      </c>
      <c r="J231" s="13">
        <v>44.416666666666671</v>
      </c>
      <c r="K231" s="13">
        <f t="shared" ca="1" si="24"/>
        <v>89.25</v>
      </c>
      <c r="L231" s="1">
        <v>0</v>
      </c>
      <c r="M231" s="13">
        <f t="shared" ca="1" si="25"/>
        <v>89.25</v>
      </c>
      <c r="N231" s="13">
        <f>SUMIFS('Leave Tracker'!F:F,'Leave Tracker'!A:A,'Annual Leave Balance'!A231,'Leave Tracker'!C:C,"Annual Leave")</f>
        <v>61</v>
      </c>
      <c r="O231" s="13">
        <f t="shared" ca="1" si="26"/>
        <v>28.25</v>
      </c>
    </row>
    <row r="232" spans="1:15" hidden="1" x14ac:dyDescent="0.3">
      <c r="A232" s="1">
        <v>2618</v>
      </c>
      <c r="B232" s="14" t="s">
        <v>382</v>
      </c>
      <c r="C232" s="14" t="s">
        <v>68</v>
      </c>
      <c r="D232" s="15">
        <v>45124</v>
      </c>
      <c r="E232" s="15">
        <f t="shared" ca="1" si="27"/>
        <v>46195</v>
      </c>
      <c r="F232" s="1">
        <f t="shared" ca="1" si="22"/>
        <v>1071</v>
      </c>
      <c r="G232" s="1">
        <f t="shared" ca="1" si="23"/>
        <v>1071</v>
      </c>
      <c r="H232" s="1">
        <v>0</v>
      </c>
      <c r="I232" s="1">
        <v>0</v>
      </c>
      <c r="J232" s="13">
        <v>44.416666666666671</v>
      </c>
      <c r="K232" s="13">
        <f t="shared" ca="1" si="24"/>
        <v>89.25</v>
      </c>
      <c r="L232" s="1">
        <v>0</v>
      </c>
      <c r="M232" s="13">
        <f t="shared" ca="1" si="25"/>
        <v>89.25</v>
      </c>
      <c r="N232" s="13">
        <f>SUMIFS('Leave Tracker'!F:F,'Leave Tracker'!A:A,'Annual Leave Balance'!A232,'Leave Tracker'!C:C,"Annual Leave")</f>
        <v>60</v>
      </c>
      <c r="O232" s="13">
        <f t="shared" ca="1" si="26"/>
        <v>29.25</v>
      </c>
    </row>
    <row r="233" spans="1:15" hidden="1" x14ac:dyDescent="0.3">
      <c r="A233" s="1">
        <v>2619</v>
      </c>
      <c r="B233" s="14" t="s">
        <v>383</v>
      </c>
      <c r="C233" s="14" t="s">
        <v>68</v>
      </c>
      <c r="D233" s="15">
        <v>45124</v>
      </c>
      <c r="E233" s="15">
        <f t="shared" ca="1" si="27"/>
        <v>46195</v>
      </c>
      <c r="F233" s="1">
        <f t="shared" ca="1" si="22"/>
        <v>1071</v>
      </c>
      <c r="G233" s="1">
        <f t="shared" ca="1" si="23"/>
        <v>1071</v>
      </c>
      <c r="H233" s="1">
        <v>0</v>
      </c>
      <c r="I233" s="1">
        <v>0</v>
      </c>
      <c r="J233" s="13">
        <v>44.416666666666671</v>
      </c>
      <c r="K233" s="13">
        <f t="shared" ca="1" si="24"/>
        <v>89.25</v>
      </c>
      <c r="L233" s="1">
        <v>0</v>
      </c>
      <c r="M233" s="13">
        <f t="shared" ca="1" si="25"/>
        <v>89.25</v>
      </c>
      <c r="N233" s="13">
        <f>SUMIFS('Leave Tracker'!F:F,'Leave Tracker'!A:A,'Annual Leave Balance'!A233,'Leave Tracker'!C:C,"Annual Leave")</f>
        <v>0</v>
      </c>
      <c r="O233" s="13">
        <f t="shared" ca="1" si="26"/>
        <v>89.25</v>
      </c>
    </row>
    <row r="234" spans="1:15" hidden="1" x14ac:dyDescent="0.3">
      <c r="A234" s="1">
        <v>2621</v>
      </c>
      <c r="B234" s="14" t="s">
        <v>384</v>
      </c>
      <c r="C234" s="14" t="s">
        <v>68</v>
      </c>
      <c r="D234" s="15">
        <v>45126</v>
      </c>
      <c r="E234" s="15">
        <f t="shared" ca="1" si="27"/>
        <v>46195</v>
      </c>
      <c r="F234" s="1">
        <f t="shared" ca="1" si="22"/>
        <v>1069</v>
      </c>
      <c r="G234" s="1">
        <f t="shared" ca="1" si="23"/>
        <v>1054</v>
      </c>
      <c r="H234" s="1">
        <v>0</v>
      </c>
      <c r="I234" s="1">
        <v>15</v>
      </c>
      <c r="J234" s="13">
        <v>43</v>
      </c>
      <c r="K234" s="13">
        <f t="shared" ca="1" si="24"/>
        <v>87.833333333333329</v>
      </c>
      <c r="L234" s="1">
        <v>0</v>
      </c>
      <c r="M234" s="13">
        <f t="shared" ca="1" si="25"/>
        <v>87.833333333333329</v>
      </c>
      <c r="N234" s="13">
        <f>SUMIFS('Leave Tracker'!F:F,'Leave Tracker'!A:A,'Annual Leave Balance'!A234,'Leave Tracker'!C:C,"Annual Leave")</f>
        <v>62</v>
      </c>
      <c r="O234" s="13">
        <f t="shared" ca="1" si="26"/>
        <v>25.833333333333329</v>
      </c>
    </row>
    <row r="235" spans="1:15" hidden="1" x14ac:dyDescent="0.3">
      <c r="A235" s="1">
        <v>2622</v>
      </c>
      <c r="B235" s="14" t="s">
        <v>385</v>
      </c>
      <c r="C235" s="14" t="s">
        <v>68</v>
      </c>
      <c r="D235" s="15">
        <v>45128</v>
      </c>
      <c r="E235" s="15">
        <f t="shared" ca="1" si="27"/>
        <v>46195</v>
      </c>
      <c r="F235" s="1">
        <f t="shared" ca="1" si="22"/>
        <v>1067</v>
      </c>
      <c r="G235" s="1">
        <f t="shared" ca="1" si="23"/>
        <v>1067</v>
      </c>
      <c r="H235" s="1">
        <v>0</v>
      </c>
      <c r="I235" s="1">
        <v>0</v>
      </c>
      <c r="J235" s="13">
        <v>44.083333333333336</v>
      </c>
      <c r="K235" s="13">
        <f t="shared" ca="1" si="24"/>
        <v>88.916666666666671</v>
      </c>
      <c r="L235" s="1">
        <v>0</v>
      </c>
      <c r="M235" s="13">
        <f t="shared" ca="1" si="25"/>
        <v>88.916666666666671</v>
      </c>
      <c r="N235" s="13">
        <f>SUMIFS('Leave Tracker'!F:F,'Leave Tracker'!A:A,'Annual Leave Balance'!A235,'Leave Tracker'!C:C,"Annual Leave")</f>
        <v>0</v>
      </c>
      <c r="O235" s="13">
        <f t="shared" ca="1" si="26"/>
        <v>88.916666666666671</v>
      </c>
    </row>
    <row r="236" spans="1:15" hidden="1" x14ac:dyDescent="0.3">
      <c r="A236" s="1">
        <v>2624</v>
      </c>
      <c r="B236" s="14" t="s">
        <v>386</v>
      </c>
      <c r="C236" s="14" t="s">
        <v>68</v>
      </c>
      <c r="D236" s="15">
        <v>45148</v>
      </c>
      <c r="E236" s="15">
        <v>45886</v>
      </c>
      <c r="F236" s="1">
        <f t="shared" si="22"/>
        <v>738</v>
      </c>
      <c r="G236" s="1">
        <f>F236-(H236+I236)+1</f>
        <v>641</v>
      </c>
      <c r="H236" s="1">
        <v>86</v>
      </c>
      <c r="I236" s="1">
        <v>12</v>
      </c>
      <c r="J236" s="13">
        <v>42.416666666666671</v>
      </c>
      <c r="K236" s="13">
        <f t="shared" si="24"/>
        <v>53.416666666666664</v>
      </c>
      <c r="L236" s="1">
        <v>0</v>
      </c>
      <c r="M236" s="13">
        <f t="shared" si="25"/>
        <v>53.416666666666664</v>
      </c>
      <c r="N236" s="13">
        <f>SUMIFS('Leave Tracker'!F:F,'Leave Tracker'!A:A,'Annual Leave Balance'!A236,'Leave Tracker'!C:C,"Annual Leave")</f>
        <v>0</v>
      </c>
      <c r="O236" s="13">
        <f t="shared" si="26"/>
        <v>53.416666666666664</v>
      </c>
    </row>
    <row r="237" spans="1:15" hidden="1" x14ac:dyDescent="0.3">
      <c r="A237" s="1">
        <v>2626</v>
      </c>
      <c r="B237" s="14" t="s">
        <v>387</v>
      </c>
      <c r="C237" s="14" t="s">
        <v>68</v>
      </c>
      <c r="D237" s="15">
        <v>45154</v>
      </c>
      <c r="E237" s="15">
        <f t="shared" ref="E237:E268" ca="1" si="28">TODAY()</f>
        <v>46195</v>
      </c>
      <c r="F237" s="1">
        <f t="shared" ca="1" si="22"/>
        <v>1041</v>
      </c>
      <c r="G237" s="1">
        <f t="shared" ref="G237:G268" ca="1" si="29">F237-(H237+I237)</f>
        <v>1019</v>
      </c>
      <c r="H237" s="1">
        <v>7</v>
      </c>
      <c r="I237" s="1">
        <v>15</v>
      </c>
      <c r="J237" s="13">
        <v>40.083333333333329</v>
      </c>
      <c r="K237" s="13">
        <f t="shared" ca="1" si="24"/>
        <v>84.916666666666671</v>
      </c>
      <c r="L237" s="1">
        <v>0</v>
      </c>
      <c r="M237" s="13">
        <f t="shared" ca="1" si="25"/>
        <v>84.916666666666671</v>
      </c>
      <c r="N237" s="13">
        <f>SUMIFS('Leave Tracker'!F:F,'Leave Tracker'!A:A,'Annual Leave Balance'!A237,'Leave Tracker'!C:C,"Annual Leave")</f>
        <v>0</v>
      </c>
      <c r="O237" s="13">
        <f t="shared" ca="1" si="26"/>
        <v>84.916666666666671</v>
      </c>
    </row>
    <row r="238" spans="1:15" hidden="1" x14ac:dyDescent="0.3">
      <c r="A238" s="1">
        <v>2627</v>
      </c>
      <c r="B238" s="14" t="s">
        <v>388</v>
      </c>
      <c r="C238" s="14" t="s">
        <v>68</v>
      </c>
      <c r="D238" s="15">
        <v>45154</v>
      </c>
      <c r="E238" s="15">
        <f t="shared" ca="1" si="28"/>
        <v>46195</v>
      </c>
      <c r="F238" s="1">
        <f t="shared" ca="1" si="22"/>
        <v>1041</v>
      </c>
      <c r="G238" s="1">
        <f t="shared" ca="1" si="29"/>
        <v>1041</v>
      </c>
      <c r="H238" s="1">
        <v>0</v>
      </c>
      <c r="I238" s="1">
        <v>0</v>
      </c>
      <c r="J238" s="13">
        <v>41.916666666666664</v>
      </c>
      <c r="K238" s="13">
        <f t="shared" ca="1" si="24"/>
        <v>86.75</v>
      </c>
      <c r="L238" s="1">
        <v>0</v>
      </c>
      <c r="M238" s="13">
        <f t="shared" ca="1" si="25"/>
        <v>86.75</v>
      </c>
      <c r="N238" s="13">
        <f>SUMIFS('Leave Tracker'!F:F,'Leave Tracker'!A:A,'Annual Leave Balance'!A238,'Leave Tracker'!C:C,"Annual Leave")</f>
        <v>0</v>
      </c>
      <c r="O238" s="13">
        <f t="shared" ca="1" si="26"/>
        <v>86.75</v>
      </c>
    </row>
    <row r="239" spans="1:15" hidden="1" x14ac:dyDescent="0.3">
      <c r="A239" s="1">
        <v>2628</v>
      </c>
      <c r="B239" s="14" t="s">
        <v>389</v>
      </c>
      <c r="C239" s="14" t="s">
        <v>260</v>
      </c>
      <c r="D239" s="15">
        <v>45159</v>
      </c>
      <c r="E239" s="15">
        <f t="shared" ca="1" si="28"/>
        <v>46195</v>
      </c>
      <c r="F239" s="1">
        <f t="shared" ca="1" si="22"/>
        <v>1036</v>
      </c>
      <c r="G239" s="1">
        <f t="shared" ca="1" si="29"/>
        <v>985</v>
      </c>
      <c r="H239" s="1">
        <v>0</v>
      </c>
      <c r="I239" s="1">
        <v>51</v>
      </c>
      <c r="J239" s="13">
        <v>1.5</v>
      </c>
      <c r="K239" s="13">
        <f t="shared" ca="1" si="24"/>
        <v>82.083333333333329</v>
      </c>
      <c r="L239" s="1">
        <v>40</v>
      </c>
      <c r="M239" s="13">
        <f t="shared" ca="1" si="25"/>
        <v>42.083333333333329</v>
      </c>
      <c r="N239" s="13">
        <v>33</v>
      </c>
      <c r="O239" s="13">
        <f t="shared" ca="1" si="26"/>
        <v>9.0833333333333286</v>
      </c>
    </row>
    <row r="240" spans="1:15" hidden="1" x14ac:dyDescent="0.3">
      <c r="A240" s="1">
        <v>2630</v>
      </c>
      <c r="B240" s="14" t="s">
        <v>390</v>
      </c>
      <c r="C240" s="14" t="s">
        <v>391</v>
      </c>
      <c r="D240" s="15">
        <v>45142</v>
      </c>
      <c r="E240" s="15">
        <v>46022</v>
      </c>
      <c r="F240" s="1">
        <f t="shared" si="22"/>
        <v>880</v>
      </c>
      <c r="G240" s="1">
        <f t="shared" si="29"/>
        <v>871</v>
      </c>
      <c r="H240" s="1">
        <v>0</v>
      </c>
      <c r="I240" s="1">
        <v>9</v>
      </c>
      <c r="J240" s="13">
        <v>42.166666666666664</v>
      </c>
      <c r="K240" s="13">
        <f t="shared" si="24"/>
        <v>72.583333333333329</v>
      </c>
      <c r="L240" s="1">
        <v>0</v>
      </c>
      <c r="M240" s="13">
        <f t="shared" si="25"/>
        <v>72.583333333333329</v>
      </c>
      <c r="N240" s="13">
        <f>SUMIFS('Leave Tracker'!F:F,'Leave Tracker'!A:A,'Annual Leave Balance'!A240,'Leave Tracker'!C:C,"Annual Leave")</f>
        <v>0</v>
      </c>
      <c r="O240" s="13">
        <f t="shared" si="26"/>
        <v>72.583333333333329</v>
      </c>
    </row>
    <row r="241" spans="1:15" hidden="1" x14ac:dyDescent="0.3">
      <c r="A241" s="1">
        <v>2631</v>
      </c>
      <c r="B241" s="14" t="s">
        <v>392</v>
      </c>
      <c r="C241" s="14" t="s">
        <v>393</v>
      </c>
      <c r="D241" s="15">
        <v>45189</v>
      </c>
      <c r="E241" s="15">
        <f t="shared" ca="1" si="28"/>
        <v>46195</v>
      </c>
      <c r="F241" s="1">
        <f t="shared" ca="1" si="22"/>
        <v>1006</v>
      </c>
      <c r="G241" s="1">
        <f t="shared" ca="1" si="29"/>
        <v>1006</v>
      </c>
      <c r="H241" s="1">
        <v>0</v>
      </c>
      <c r="I241" s="1">
        <v>0</v>
      </c>
      <c r="J241" s="13">
        <v>39</v>
      </c>
      <c r="K241" s="13">
        <f t="shared" ca="1" si="24"/>
        <v>83.833333333333329</v>
      </c>
      <c r="L241" s="1">
        <v>0</v>
      </c>
      <c r="M241" s="13">
        <f t="shared" ca="1" si="25"/>
        <v>83.833333333333329</v>
      </c>
      <c r="N241" s="13">
        <f>SUMIFS('Leave Tracker'!F:F,'Leave Tracker'!A:A,'Annual Leave Balance'!A241,'Leave Tracker'!C:C,"Annual Leave")</f>
        <v>0</v>
      </c>
      <c r="O241" s="13">
        <f t="shared" ca="1" si="26"/>
        <v>83.833333333333329</v>
      </c>
    </row>
    <row r="242" spans="1:15" hidden="1" x14ac:dyDescent="0.3">
      <c r="A242" s="1">
        <v>2632</v>
      </c>
      <c r="B242" s="14" t="s">
        <v>394</v>
      </c>
      <c r="C242" s="14" t="s">
        <v>395</v>
      </c>
      <c r="D242" s="15">
        <v>45187</v>
      </c>
      <c r="E242" s="15">
        <f t="shared" ca="1" si="28"/>
        <v>46195</v>
      </c>
      <c r="F242" s="1">
        <f t="shared" ca="1" si="22"/>
        <v>1008</v>
      </c>
      <c r="G242" s="1">
        <f t="shared" ca="1" si="29"/>
        <v>1008</v>
      </c>
      <c r="H242" s="1">
        <v>0</v>
      </c>
      <c r="I242" s="1">
        <v>0</v>
      </c>
      <c r="J242" s="13">
        <v>36.166666666666664</v>
      </c>
      <c r="K242" s="13">
        <f t="shared" ca="1" si="24"/>
        <v>84</v>
      </c>
      <c r="L242" s="1">
        <v>3</v>
      </c>
      <c r="M242" s="13">
        <f t="shared" ca="1" si="25"/>
        <v>81</v>
      </c>
      <c r="N242" s="13">
        <f>SUMIFS('Leave Tracker'!F:F,'Leave Tracker'!A:A,'Annual Leave Balance'!A242,'Leave Tracker'!C:C,"Annual Leave")</f>
        <v>15</v>
      </c>
      <c r="O242" s="13">
        <f t="shared" ca="1" si="26"/>
        <v>66</v>
      </c>
    </row>
    <row r="243" spans="1:15" hidden="1" x14ac:dyDescent="0.3">
      <c r="A243" s="1">
        <v>2633</v>
      </c>
      <c r="B243" s="14" t="s">
        <v>396</v>
      </c>
      <c r="C243" s="14" t="s">
        <v>397</v>
      </c>
      <c r="D243" s="15">
        <v>45170</v>
      </c>
      <c r="E243" s="15">
        <f t="shared" ca="1" si="28"/>
        <v>46195</v>
      </c>
      <c r="F243" s="1">
        <f t="shared" ca="1" si="22"/>
        <v>1025</v>
      </c>
      <c r="G243" s="1">
        <f t="shared" ca="1" si="29"/>
        <v>1025</v>
      </c>
      <c r="H243" s="1">
        <v>0</v>
      </c>
      <c r="I243" s="1">
        <v>0</v>
      </c>
      <c r="J243" s="13">
        <v>0</v>
      </c>
      <c r="K243" s="13">
        <f t="shared" ca="1" si="24"/>
        <v>85.416666666666671</v>
      </c>
      <c r="L243" s="1">
        <v>0</v>
      </c>
      <c r="M243" s="13">
        <f t="shared" ca="1" si="25"/>
        <v>85.416666666666671</v>
      </c>
      <c r="N243" s="13">
        <f>SUMIFS('Leave Tracker'!F:F,'Leave Tracker'!A:A,'Annual Leave Balance'!A243,'Leave Tracker'!C:C,"Annual Leave")</f>
        <v>0</v>
      </c>
      <c r="O243" s="13">
        <f t="shared" ca="1" si="26"/>
        <v>85.416666666666671</v>
      </c>
    </row>
    <row r="244" spans="1:15" hidden="1" x14ac:dyDescent="0.3">
      <c r="A244" s="1">
        <v>2635</v>
      </c>
      <c r="B244" s="14" t="s">
        <v>398</v>
      </c>
      <c r="C244" s="14" t="s">
        <v>399</v>
      </c>
      <c r="D244" s="15">
        <v>45183</v>
      </c>
      <c r="E244" s="15">
        <f t="shared" ca="1" si="28"/>
        <v>46195</v>
      </c>
      <c r="F244" s="1">
        <f t="shared" ca="1" si="22"/>
        <v>1012</v>
      </c>
      <c r="G244" s="1">
        <f t="shared" ca="1" si="29"/>
        <v>1012</v>
      </c>
      <c r="H244" s="1">
        <v>0</v>
      </c>
      <c r="I244" s="1">
        <v>0</v>
      </c>
      <c r="J244" s="13">
        <v>9.5</v>
      </c>
      <c r="K244" s="13">
        <f t="shared" ca="1" si="24"/>
        <v>84.333333333333329</v>
      </c>
      <c r="L244" s="1">
        <v>30</v>
      </c>
      <c r="M244" s="13">
        <f t="shared" ca="1" si="25"/>
        <v>54.333333333333329</v>
      </c>
      <c r="N244" s="13"/>
      <c r="O244" s="13">
        <f t="shared" ca="1" si="26"/>
        <v>54.333333333333329</v>
      </c>
    </row>
    <row r="245" spans="1:15" hidden="1" x14ac:dyDescent="0.3">
      <c r="A245" s="1">
        <v>2636</v>
      </c>
      <c r="B245" s="14" t="s">
        <v>400</v>
      </c>
      <c r="C245" s="14" t="s">
        <v>64</v>
      </c>
      <c r="D245" s="15">
        <v>45194</v>
      </c>
      <c r="E245" s="15">
        <f t="shared" ca="1" si="28"/>
        <v>46195</v>
      </c>
      <c r="F245" s="1">
        <f t="shared" ca="1" si="22"/>
        <v>1001</v>
      </c>
      <c r="G245" s="1">
        <f t="shared" ca="1" si="29"/>
        <v>968</v>
      </c>
      <c r="H245" s="1">
        <v>26</v>
      </c>
      <c r="I245" s="1">
        <v>7</v>
      </c>
      <c r="J245" s="13">
        <v>5.8333333333333357</v>
      </c>
      <c r="K245" s="13">
        <f t="shared" ca="1" si="24"/>
        <v>80.666666666666671</v>
      </c>
      <c r="L245" s="1">
        <v>30</v>
      </c>
      <c r="M245" s="13">
        <f t="shared" ca="1" si="25"/>
        <v>50.666666666666671</v>
      </c>
      <c r="N245" s="13">
        <f>SUMIFS('Leave Tracker'!F:F,'Leave Tracker'!A:A,'Annual Leave Balance'!A245,'Leave Tracker'!C:C,"Annual Leave")</f>
        <v>0</v>
      </c>
      <c r="O245" s="13">
        <f t="shared" ca="1" si="26"/>
        <v>50.666666666666671</v>
      </c>
    </row>
    <row r="246" spans="1:15" hidden="1" x14ac:dyDescent="0.3">
      <c r="A246" s="1">
        <v>2638</v>
      </c>
      <c r="B246" s="14" t="s">
        <v>401</v>
      </c>
      <c r="C246" s="14" t="s">
        <v>402</v>
      </c>
      <c r="D246" s="15">
        <v>45201</v>
      </c>
      <c r="E246" s="15">
        <f t="shared" ca="1" si="28"/>
        <v>46195</v>
      </c>
      <c r="F246" s="1">
        <f t="shared" ca="1" si="22"/>
        <v>994</v>
      </c>
      <c r="G246" s="1">
        <f t="shared" ca="1" si="29"/>
        <v>995</v>
      </c>
      <c r="H246" s="1">
        <v>-1</v>
      </c>
      <c r="I246" s="1">
        <v>0</v>
      </c>
      <c r="J246" s="13">
        <v>20.083333333333329</v>
      </c>
      <c r="K246" s="13">
        <f t="shared" ca="1" si="24"/>
        <v>82.916666666666671</v>
      </c>
      <c r="L246" s="1">
        <v>18</v>
      </c>
      <c r="M246" s="13">
        <f t="shared" ca="1" si="25"/>
        <v>64.916666666666671</v>
      </c>
      <c r="N246" s="13">
        <v>23</v>
      </c>
      <c r="O246" s="13">
        <f t="shared" ca="1" si="26"/>
        <v>41.916666666666671</v>
      </c>
    </row>
    <row r="247" spans="1:15" hidden="1" x14ac:dyDescent="0.3">
      <c r="A247" s="1">
        <v>2642</v>
      </c>
      <c r="B247" s="14" t="s">
        <v>403</v>
      </c>
      <c r="C247" s="14" t="s">
        <v>404</v>
      </c>
      <c r="D247" s="15">
        <v>45271</v>
      </c>
      <c r="E247" s="15">
        <f t="shared" ca="1" si="28"/>
        <v>46195</v>
      </c>
      <c r="F247" s="1">
        <f t="shared" ca="1" si="22"/>
        <v>924</v>
      </c>
      <c r="G247" s="1">
        <f t="shared" ca="1" si="29"/>
        <v>924</v>
      </c>
      <c r="H247" s="1">
        <v>0</v>
      </c>
      <c r="I247" s="1">
        <v>0</v>
      </c>
      <c r="J247" s="13">
        <v>32.166666666666664</v>
      </c>
      <c r="K247" s="13">
        <f t="shared" ca="1" si="24"/>
        <v>77</v>
      </c>
      <c r="L247" s="1">
        <v>0</v>
      </c>
      <c r="M247" s="13">
        <f t="shared" ca="1" si="25"/>
        <v>77</v>
      </c>
      <c r="N247" s="13">
        <f>SUMIFS('Leave Tracker'!F:F,'Leave Tracker'!A:A,'Annual Leave Balance'!A247,'Leave Tracker'!C:C,"Annual Leave")</f>
        <v>0</v>
      </c>
      <c r="O247" s="13">
        <f t="shared" ca="1" si="26"/>
        <v>77</v>
      </c>
    </row>
    <row r="248" spans="1:15" hidden="1" x14ac:dyDescent="0.3">
      <c r="A248" s="1">
        <v>2643</v>
      </c>
      <c r="B248" s="14" t="s">
        <v>405</v>
      </c>
      <c r="C248" s="14" t="s">
        <v>406</v>
      </c>
      <c r="D248" s="15">
        <v>45271</v>
      </c>
      <c r="E248" s="15">
        <f t="shared" ca="1" si="28"/>
        <v>46195</v>
      </c>
      <c r="F248" s="1">
        <f t="shared" ca="1" si="22"/>
        <v>924</v>
      </c>
      <c r="G248" s="1">
        <f t="shared" ca="1" si="29"/>
        <v>924</v>
      </c>
      <c r="H248" s="1">
        <v>0</v>
      </c>
      <c r="I248" s="1">
        <v>0</v>
      </c>
      <c r="J248" s="13">
        <v>32.166666666666664</v>
      </c>
      <c r="K248" s="13">
        <f t="shared" ca="1" si="24"/>
        <v>77</v>
      </c>
      <c r="L248" s="1">
        <v>0</v>
      </c>
      <c r="M248" s="13">
        <f t="shared" ca="1" si="25"/>
        <v>77</v>
      </c>
      <c r="N248" s="13">
        <f>SUMIFS('Leave Tracker'!F:F,'Leave Tracker'!A:A,'Annual Leave Balance'!A248,'Leave Tracker'!C:C,"Annual Leave")</f>
        <v>30</v>
      </c>
      <c r="O248" s="13">
        <f t="shared" ca="1" si="26"/>
        <v>47</v>
      </c>
    </row>
    <row r="249" spans="1:15" hidden="1" x14ac:dyDescent="0.3">
      <c r="A249" s="1">
        <v>2644</v>
      </c>
      <c r="B249" s="14" t="s">
        <v>407</v>
      </c>
      <c r="C249" s="14" t="s">
        <v>68</v>
      </c>
      <c r="D249" s="15">
        <v>45271</v>
      </c>
      <c r="E249" s="15">
        <f t="shared" ca="1" si="28"/>
        <v>46195</v>
      </c>
      <c r="F249" s="1">
        <f t="shared" ca="1" si="22"/>
        <v>924</v>
      </c>
      <c r="G249" s="1">
        <f t="shared" ca="1" si="29"/>
        <v>924</v>
      </c>
      <c r="H249" s="1">
        <v>0</v>
      </c>
      <c r="I249" s="1">
        <v>0</v>
      </c>
      <c r="J249" s="13">
        <v>32.166666666666664</v>
      </c>
      <c r="K249" s="13">
        <f t="shared" ca="1" si="24"/>
        <v>77</v>
      </c>
      <c r="L249" s="1">
        <v>0</v>
      </c>
      <c r="M249" s="13">
        <f t="shared" ca="1" si="25"/>
        <v>77</v>
      </c>
      <c r="N249" s="13">
        <f>SUMIFS('Leave Tracker'!F:F,'Leave Tracker'!A:A,'Annual Leave Balance'!A249,'Leave Tracker'!C:C,"Annual Leave")</f>
        <v>0</v>
      </c>
      <c r="O249" s="13">
        <f t="shared" ca="1" si="26"/>
        <v>77</v>
      </c>
    </row>
    <row r="250" spans="1:15" hidden="1" x14ac:dyDescent="0.3">
      <c r="A250" s="1">
        <v>2645</v>
      </c>
      <c r="B250" s="14" t="s">
        <v>408</v>
      </c>
      <c r="C250" s="14" t="s">
        <v>108</v>
      </c>
      <c r="D250" s="15">
        <v>45280</v>
      </c>
      <c r="E250" s="15">
        <f t="shared" ca="1" si="28"/>
        <v>46195</v>
      </c>
      <c r="F250" s="1">
        <f t="shared" ca="1" si="22"/>
        <v>915</v>
      </c>
      <c r="G250" s="1">
        <f t="shared" ca="1" si="29"/>
        <v>915</v>
      </c>
      <c r="H250" s="1">
        <v>0</v>
      </c>
      <c r="I250" s="1">
        <v>0</v>
      </c>
      <c r="J250" s="13">
        <v>31.416666666666668</v>
      </c>
      <c r="K250" s="13">
        <f t="shared" ca="1" si="24"/>
        <v>76.25</v>
      </c>
      <c r="L250" s="1">
        <v>0</v>
      </c>
      <c r="M250" s="13">
        <f t="shared" ca="1" si="25"/>
        <v>76.25</v>
      </c>
      <c r="N250" s="13">
        <f>SUMIFS('Leave Tracker'!F:F,'Leave Tracker'!A:A,'Annual Leave Balance'!A250,'Leave Tracker'!C:C,"Annual Leave")</f>
        <v>68</v>
      </c>
      <c r="O250" s="13">
        <f t="shared" ca="1" si="26"/>
        <v>8.25</v>
      </c>
    </row>
    <row r="251" spans="1:15" hidden="1" x14ac:dyDescent="0.3">
      <c r="A251" s="1">
        <v>2646</v>
      </c>
      <c r="B251" s="14" t="s">
        <v>409</v>
      </c>
      <c r="C251" s="14" t="s">
        <v>410</v>
      </c>
      <c r="D251" s="15">
        <v>45264</v>
      </c>
      <c r="E251" s="15">
        <f t="shared" ca="1" si="28"/>
        <v>46195</v>
      </c>
      <c r="F251" s="1">
        <f t="shared" ca="1" si="22"/>
        <v>931</v>
      </c>
      <c r="G251" s="1">
        <f t="shared" ca="1" si="29"/>
        <v>931</v>
      </c>
      <c r="H251" s="1">
        <v>0</v>
      </c>
      <c r="I251" s="1">
        <v>0</v>
      </c>
      <c r="J251" s="13">
        <v>32.75</v>
      </c>
      <c r="K251" s="13">
        <f t="shared" ca="1" si="24"/>
        <v>77.583333333333343</v>
      </c>
      <c r="L251" s="1">
        <v>0</v>
      </c>
      <c r="M251" s="13">
        <f t="shared" ca="1" si="25"/>
        <v>77.583333333333343</v>
      </c>
      <c r="N251" s="13">
        <f>SUMIFS('Leave Tracker'!F:F,'Leave Tracker'!A:A,'Annual Leave Balance'!A251,'Leave Tracker'!C:C,"Annual Leave")</f>
        <v>0</v>
      </c>
      <c r="O251" s="13">
        <f t="shared" ca="1" si="26"/>
        <v>77.583333333333343</v>
      </c>
    </row>
    <row r="252" spans="1:15" hidden="1" x14ac:dyDescent="0.3">
      <c r="A252" s="1">
        <v>2647</v>
      </c>
      <c r="B252" s="14" t="s">
        <v>411</v>
      </c>
      <c r="C252" s="14" t="s">
        <v>412</v>
      </c>
      <c r="D252" s="15">
        <v>45293</v>
      </c>
      <c r="E252" s="15">
        <f t="shared" ca="1" si="28"/>
        <v>46195</v>
      </c>
      <c r="F252" s="1">
        <f t="shared" ca="1" si="22"/>
        <v>902</v>
      </c>
      <c r="G252" s="1">
        <f t="shared" ca="1" si="29"/>
        <v>902</v>
      </c>
      <c r="H252" s="1">
        <v>0</v>
      </c>
      <c r="I252" s="1">
        <v>0</v>
      </c>
      <c r="J252" s="13">
        <v>30.333333333333332</v>
      </c>
      <c r="K252" s="13">
        <f t="shared" ca="1" si="24"/>
        <v>75.166666666666671</v>
      </c>
      <c r="L252" s="1">
        <v>0</v>
      </c>
      <c r="M252" s="13">
        <f t="shared" ca="1" si="25"/>
        <v>75.166666666666671</v>
      </c>
      <c r="N252" s="13">
        <f>SUMIFS('Leave Tracker'!F:F,'Leave Tracker'!A:A,'Annual Leave Balance'!A252,'Leave Tracker'!C:C,"Annual Leave")</f>
        <v>18</v>
      </c>
      <c r="O252" s="13">
        <f t="shared" ca="1" si="26"/>
        <v>57.166666666666671</v>
      </c>
    </row>
    <row r="253" spans="1:15" hidden="1" x14ac:dyDescent="0.3">
      <c r="A253" s="1">
        <v>2655</v>
      </c>
      <c r="B253" s="14" t="s">
        <v>413</v>
      </c>
      <c r="C253" s="14" t="s">
        <v>414</v>
      </c>
      <c r="D253" s="15">
        <v>45314</v>
      </c>
      <c r="E253" s="15">
        <f t="shared" ca="1" si="28"/>
        <v>46195</v>
      </c>
      <c r="F253" s="1">
        <f t="shared" ca="1" si="22"/>
        <v>881</v>
      </c>
      <c r="G253" s="1">
        <f t="shared" ca="1" si="29"/>
        <v>881</v>
      </c>
      <c r="H253" s="1">
        <v>0</v>
      </c>
      <c r="I253" s="1">
        <v>0</v>
      </c>
      <c r="J253" s="13">
        <v>28.583333333333332</v>
      </c>
      <c r="K253" s="13">
        <f t="shared" ca="1" si="24"/>
        <v>73.416666666666671</v>
      </c>
      <c r="L253" s="1">
        <v>0</v>
      </c>
      <c r="M253" s="13">
        <f t="shared" ca="1" si="25"/>
        <v>73.416666666666671</v>
      </c>
      <c r="N253" s="13">
        <f>SUMIFS('Leave Tracker'!F:F,'Leave Tracker'!A:A,'Annual Leave Balance'!A253,'Leave Tracker'!C:C,"Annual Leave")</f>
        <v>0</v>
      </c>
      <c r="O253" s="13">
        <f t="shared" ca="1" si="26"/>
        <v>73.416666666666671</v>
      </c>
    </row>
    <row r="254" spans="1:15" x14ac:dyDescent="0.3">
      <c r="A254" s="1">
        <v>2656</v>
      </c>
      <c r="B254" s="14" t="s">
        <v>415</v>
      </c>
      <c r="C254" s="14" t="s">
        <v>416</v>
      </c>
      <c r="D254" s="15">
        <v>45344</v>
      </c>
      <c r="E254" s="15">
        <v>46366</v>
      </c>
      <c r="F254" s="1">
        <f>E254-D254</f>
        <v>1022</v>
      </c>
      <c r="G254" s="1">
        <f>F254-(H254+I254)</f>
        <v>1022</v>
      </c>
      <c r="H254" s="1">
        <v>0</v>
      </c>
      <c r="I254" s="1">
        <v>0</v>
      </c>
      <c r="J254" s="13">
        <v>26.083333333333336</v>
      </c>
      <c r="K254" s="13">
        <f>G254/360*30</f>
        <v>85.166666666666671</v>
      </c>
      <c r="L254" s="1">
        <v>0</v>
      </c>
      <c r="M254" s="13">
        <f t="shared" si="25"/>
        <v>85.166666666666671</v>
      </c>
      <c r="N254" s="13">
        <v>57</v>
      </c>
      <c r="O254" s="13">
        <f t="shared" si="26"/>
        <v>28.166666666666671</v>
      </c>
    </row>
    <row r="255" spans="1:15" hidden="1" x14ac:dyDescent="0.3">
      <c r="A255" s="1">
        <v>2657</v>
      </c>
      <c r="B255" s="14" t="s">
        <v>417</v>
      </c>
      <c r="C255" s="14" t="s">
        <v>418</v>
      </c>
      <c r="D255" s="15">
        <v>45358</v>
      </c>
      <c r="E255" s="15">
        <f t="shared" ca="1" si="28"/>
        <v>46195</v>
      </c>
      <c r="F255" s="1">
        <f t="shared" ca="1" si="22"/>
        <v>837</v>
      </c>
      <c r="G255" s="1">
        <f t="shared" ca="1" si="29"/>
        <v>837</v>
      </c>
      <c r="H255" s="1">
        <v>0</v>
      </c>
      <c r="I255" s="1">
        <v>0</v>
      </c>
      <c r="J255" s="13">
        <v>24.916666666666668</v>
      </c>
      <c r="K255" s="13">
        <f t="shared" ca="1" si="24"/>
        <v>69.75</v>
      </c>
      <c r="L255" s="1">
        <v>0</v>
      </c>
      <c r="M255" s="13">
        <f t="shared" ca="1" si="25"/>
        <v>69.75</v>
      </c>
      <c r="N255" s="13">
        <f>SUMIFS('Leave Tracker'!F:F,'Leave Tracker'!A:A,'Annual Leave Balance'!A255,'Leave Tracker'!C:C,"Annual Leave")</f>
        <v>0</v>
      </c>
      <c r="O255" s="13">
        <f t="shared" ca="1" si="26"/>
        <v>69.75</v>
      </c>
    </row>
    <row r="256" spans="1:15" hidden="1" x14ac:dyDescent="0.3">
      <c r="A256" s="1">
        <v>2658</v>
      </c>
      <c r="B256" s="14" t="s">
        <v>419</v>
      </c>
      <c r="C256" s="14" t="s">
        <v>420</v>
      </c>
      <c r="D256" s="15">
        <v>45385</v>
      </c>
      <c r="E256" s="15">
        <f t="shared" ca="1" si="28"/>
        <v>46195</v>
      </c>
      <c r="F256" s="1">
        <f t="shared" ca="1" si="22"/>
        <v>810</v>
      </c>
      <c r="G256" s="1">
        <f t="shared" ca="1" si="29"/>
        <v>810</v>
      </c>
      <c r="H256" s="1">
        <v>0</v>
      </c>
      <c r="I256" s="1">
        <v>0</v>
      </c>
      <c r="J256" s="13">
        <v>22.666666666666664</v>
      </c>
      <c r="K256" s="13">
        <f t="shared" ca="1" si="24"/>
        <v>67.5</v>
      </c>
      <c r="L256" s="1">
        <v>0</v>
      </c>
      <c r="M256" s="13">
        <f t="shared" ca="1" si="25"/>
        <v>67.5</v>
      </c>
      <c r="N256" s="13">
        <f>SUMIFS('Leave Tracker'!F:F,'Leave Tracker'!A:A,'Annual Leave Balance'!A256,'Leave Tracker'!C:C,"Annual Leave")</f>
        <v>0</v>
      </c>
      <c r="O256" s="13">
        <f t="shared" ca="1" si="26"/>
        <v>67.5</v>
      </c>
    </row>
    <row r="257" spans="1:15" hidden="1" x14ac:dyDescent="0.3">
      <c r="A257" s="1">
        <v>2661</v>
      </c>
      <c r="B257" s="14" t="s">
        <v>421</v>
      </c>
      <c r="C257" s="14" t="s">
        <v>371</v>
      </c>
      <c r="D257" s="15">
        <v>45398</v>
      </c>
      <c r="E257" s="15">
        <f t="shared" ca="1" si="28"/>
        <v>46195</v>
      </c>
      <c r="F257" s="1">
        <f t="shared" ca="1" si="22"/>
        <v>797</v>
      </c>
      <c r="G257" s="1">
        <f t="shared" ca="1" si="29"/>
        <v>797</v>
      </c>
      <c r="H257" s="1">
        <v>0</v>
      </c>
      <c r="I257" s="1">
        <v>0</v>
      </c>
      <c r="J257" s="13">
        <v>21.583333333333332</v>
      </c>
      <c r="K257" s="13">
        <f t="shared" ca="1" si="24"/>
        <v>66.416666666666671</v>
      </c>
      <c r="L257" s="1">
        <v>0</v>
      </c>
      <c r="M257" s="13">
        <f t="shared" ca="1" si="25"/>
        <v>66.416666666666671</v>
      </c>
      <c r="N257" s="13">
        <f>SUMIFS('Leave Tracker'!F:F,'Leave Tracker'!A:A,'Annual Leave Balance'!A257,'Leave Tracker'!C:C,"Annual Leave")</f>
        <v>0</v>
      </c>
      <c r="O257" s="13">
        <f t="shared" ca="1" si="26"/>
        <v>66.416666666666671</v>
      </c>
    </row>
    <row r="258" spans="1:15" hidden="1" x14ac:dyDescent="0.3">
      <c r="A258" s="1">
        <v>2662</v>
      </c>
      <c r="B258" s="14" t="s">
        <v>422</v>
      </c>
      <c r="C258" s="14" t="s">
        <v>78</v>
      </c>
      <c r="D258" s="15">
        <v>45412</v>
      </c>
      <c r="E258" s="15">
        <f t="shared" ca="1" si="28"/>
        <v>46195</v>
      </c>
      <c r="F258" s="1">
        <f t="shared" ref="F258:F321" ca="1" si="30">E258-D258</f>
        <v>783</v>
      </c>
      <c r="G258" s="1">
        <f t="shared" ca="1" si="29"/>
        <v>783</v>
      </c>
      <c r="H258" s="1">
        <v>0</v>
      </c>
      <c r="I258" s="1">
        <v>0</v>
      </c>
      <c r="J258" s="13">
        <v>20.416666666666668</v>
      </c>
      <c r="K258" s="13">
        <f t="shared" ref="K258:K321" ca="1" si="31">G258/360*30</f>
        <v>65.25</v>
      </c>
      <c r="L258" s="1">
        <v>0</v>
      </c>
      <c r="M258" s="13">
        <f t="shared" ref="M258:M321" ca="1" si="32">K258-L258</f>
        <v>65.25</v>
      </c>
      <c r="N258" s="13">
        <f>SUMIFS('Leave Tracker'!F:F,'Leave Tracker'!A:A,'Annual Leave Balance'!A258,'Leave Tracker'!C:C,"Annual Leave")</f>
        <v>0</v>
      </c>
      <c r="O258" s="13">
        <f t="shared" ref="O258:O321" ca="1" si="33">M258-N258</f>
        <v>65.25</v>
      </c>
    </row>
    <row r="259" spans="1:15" hidden="1" x14ac:dyDescent="0.3">
      <c r="A259" s="1">
        <v>2663</v>
      </c>
      <c r="B259" s="14" t="s">
        <v>423</v>
      </c>
      <c r="C259" s="14" t="s">
        <v>424</v>
      </c>
      <c r="D259" s="15">
        <v>45418</v>
      </c>
      <c r="E259" s="15">
        <f t="shared" ca="1" si="28"/>
        <v>46195</v>
      </c>
      <c r="F259" s="1">
        <f t="shared" ca="1" si="30"/>
        <v>777</v>
      </c>
      <c r="G259" s="1">
        <f t="shared" ca="1" si="29"/>
        <v>777</v>
      </c>
      <c r="H259" s="1">
        <v>0</v>
      </c>
      <c r="I259" s="1">
        <v>0</v>
      </c>
      <c r="J259" s="13">
        <v>19.916666666666664</v>
      </c>
      <c r="K259" s="13">
        <f t="shared" ca="1" si="31"/>
        <v>64.75</v>
      </c>
      <c r="L259" s="1">
        <v>0</v>
      </c>
      <c r="M259" s="13">
        <f t="shared" ca="1" si="32"/>
        <v>64.75</v>
      </c>
      <c r="N259" s="13">
        <f>SUMIFS('Leave Tracker'!F:F,'Leave Tracker'!A:A,'Annual Leave Balance'!A259,'Leave Tracker'!C:C,"Annual Leave")</f>
        <v>0</v>
      </c>
      <c r="O259" s="13">
        <f t="shared" ca="1" si="33"/>
        <v>64.75</v>
      </c>
    </row>
    <row r="260" spans="1:15" hidden="1" x14ac:dyDescent="0.3">
      <c r="A260" s="1">
        <v>2664</v>
      </c>
      <c r="B260" s="14" t="s">
        <v>425</v>
      </c>
      <c r="C260" s="14" t="s">
        <v>68</v>
      </c>
      <c r="D260" s="15">
        <v>45414</v>
      </c>
      <c r="E260" s="15">
        <f t="shared" ca="1" si="28"/>
        <v>46195</v>
      </c>
      <c r="F260" s="1">
        <f t="shared" ca="1" si="30"/>
        <v>781</v>
      </c>
      <c r="G260" s="1">
        <f t="shared" ca="1" si="29"/>
        <v>781</v>
      </c>
      <c r="H260" s="1">
        <v>0</v>
      </c>
      <c r="I260" s="1">
        <v>0</v>
      </c>
      <c r="J260" s="13">
        <v>20.25</v>
      </c>
      <c r="K260" s="13">
        <f t="shared" ca="1" si="31"/>
        <v>65.083333333333329</v>
      </c>
      <c r="L260" s="1">
        <v>0</v>
      </c>
      <c r="M260" s="13">
        <f t="shared" ca="1" si="32"/>
        <v>65.083333333333329</v>
      </c>
      <c r="N260" s="13">
        <f>SUMIFS('Leave Tracker'!F:F,'Leave Tracker'!A:A,'Annual Leave Balance'!A260,'Leave Tracker'!C:C,"Annual Leave")</f>
        <v>0</v>
      </c>
      <c r="O260" s="13">
        <f t="shared" ca="1" si="33"/>
        <v>65.083333333333329</v>
      </c>
    </row>
    <row r="261" spans="1:15" hidden="1" x14ac:dyDescent="0.3">
      <c r="A261" s="1">
        <v>2665</v>
      </c>
      <c r="B261" s="14" t="s">
        <v>426</v>
      </c>
      <c r="C261" s="14" t="s">
        <v>68</v>
      </c>
      <c r="D261" s="15">
        <v>45414</v>
      </c>
      <c r="E261" s="15">
        <f t="shared" ca="1" si="28"/>
        <v>46195</v>
      </c>
      <c r="F261" s="1">
        <f t="shared" ca="1" si="30"/>
        <v>781</v>
      </c>
      <c r="G261" s="1">
        <f t="shared" ca="1" si="29"/>
        <v>781</v>
      </c>
      <c r="H261" s="1">
        <v>0</v>
      </c>
      <c r="I261" s="1">
        <v>0</v>
      </c>
      <c r="J261" s="13">
        <v>20.25</v>
      </c>
      <c r="K261" s="13">
        <f t="shared" ca="1" si="31"/>
        <v>65.083333333333329</v>
      </c>
      <c r="L261" s="1">
        <v>0</v>
      </c>
      <c r="M261" s="13">
        <f t="shared" ca="1" si="32"/>
        <v>65.083333333333329</v>
      </c>
      <c r="N261" s="13">
        <f>SUMIFS('Leave Tracker'!F:F,'Leave Tracker'!A:A,'Annual Leave Balance'!A261,'Leave Tracker'!C:C,"Annual Leave")</f>
        <v>0</v>
      </c>
      <c r="O261" s="13">
        <f t="shared" ca="1" si="33"/>
        <v>65.083333333333329</v>
      </c>
    </row>
    <row r="262" spans="1:15" hidden="1" x14ac:dyDescent="0.3">
      <c r="A262" s="1">
        <v>2666</v>
      </c>
      <c r="B262" s="14" t="s">
        <v>427</v>
      </c>
      <c r="C262" s="14" t="s">
        <v>68</v>
      </c>
      <c r="D262" s="15">
        <v>45414</v>
      </c>
      <c r="E262" s="15">
        <f t="shared" ca="1" si="28"/>
        <v>46195</v>
      </c>
      <c r="F262" s="1">
        <f t="shared" ca="1" si="30"/>
        <v>781</v>
      </c>
      <c r="G262" s="1">
        <f t="shared" ca="1" si="29"/>
        <v>781</v>
      </c>
      <c r="H262" s="1">
        <v>0</v>
      </c>
      <c r="I262" s="1">
        <v>0</v>
      </c>
      <c r="J262" s="13">
        <v>20.25</v>
      </c>
      <c r="K262" s="13">
        <f t="shared" ca="1" si="31"/>
        <v>65.083333333333329</v>
      </c>
      <c r="L262" s="1">
        <v>0</v>
      </c>
      <c r="M262" s="13">
        <f t="shared" ca="1" si="32"/>
        <v>65.083333333333329</v>
      </c>
      <c r="N262" s="13">
        <f>SUMIFS('Leave Tracker'!F:F,'Leave Tracker'!A:A,'Annual Leave Balance'!A262,'Leave Tracker'!C:C,"Annual Leave")</f>
        <v>0</v>
      </c>
      <c r="O262" s="13">
        <f t="shared" ca="1" si="33"/>
        <v>65.083333333333329</v>
      </c>
    </row>
    <row r="263" spans="1:15" hidden="1" x14ac:dyDescent="0.3">
      <c r="A263" s="1">
        <v>2667</v>
      </c>
      <c r="B263" s="14" t="s">
        <v>428</v>
      </c>
      <c r="C263" s="14" t="s">
        <v>68</v>
      </c>
      <c r="D263" s="15">
        <v>45414</v>
      </c>
      <c r="E263" s="15">
        <f t="shared" ca="1" si="28"/>
        <v>46195</v>
      </c>
      <c r="F263" s="1">
        <f t="shared" ca="1" si="30"/>
        <v>781</v>
      </c>
      <c r="G263" s="1">
        <f t="shared" ca="1" si="29"/>
        <v>781</v>
      </c>
      <c r="H263" s="1">
        <v>0</v>
      </c>
      <c r="I263" s="1">
        <v>0</v>
      </c>
      <c r="J263" s="13">
        <v>20.25</v>
      </c>
      <c r="K263" s="13">
        <f t="shared" ca="1" si="31"/>
        <v>65.083333333333329</v>
      </c>
      <c r="L263" s="1">
        <v>0</v>
      </c>
      <c r="M263" s="13">
        <f t="shared" ca="1" si="32"/>
        <v>65.083333333333329</v>
      </c>
      <c r="N263" s="13">
        <f>SUMIFS('Leave Tracker'!F:F,'Leave Tracker'!A:A,'Annual Leave Balance'!A263,'Leave Tracker'!C:C,"Annual Leave")</f>
        <v>0</v>
      </c>
      <c r="O263" s="13">
        <f t="shared" ca="1" si="33"/>
        <v>65.083333333333329</v>
      </c>
    </row>
    <row r="264" spans="1:15" hidden="1" x14ac:dyDescent="0.3">
      <c r="A264" s="1">
        <v>2668</v>
      </c>
      <c r="B264" s="14" t="s">
        <v>429</v>
      </c>
      <c r="C264" s="14" t="s">
        <v>68</v>
      </c>
      <c r="D264" s="15">
        <v>45414</v>
      </c>
      <c r="E264" s="15">
        <f t="shared" ca="1" si="28"/>
        <v>46195</v>
      </c>
      <c r="F264" s="1">
        <f t="shared" ca="1" si="30"/>
        <v>781</v>
      </c>
      <c r="G264" s="1">
        <f t="shared" ca="1" si="29"/>
        <v>781</v>
      </c>
      <c r="H264" s="1">
        <v>0</v>
      </c>
      <c r="I264" s="1">
        <v>0</v>
      </c>
      <c r="J264" s="13">
        <v>20.25</v>
      </c>
      <c r="K264" s="13">
        <f t="shared" ca="1" si="31"/>
        <v>65.083333333333329</v>
      </c>
      <c r="L264" s="1">
        <v>0</v>
      </c>
      <c r="M264" s="13">
        <f t="shared" ca="1" si="32"/>
        <v>65.083333333333329</v>
      </c>
      <c r="N264" s="13">
        <f>SUMIFS('Leave Tracker'!F:F,'Leave Tracker'!A:A,'Annual Leave Balance'!A264,'Leave Tracker'!C:C,"Annual Leave")</f>
        <v>0</v>
      </c>
      <c r="O264" s="13">
        <f t="shared" ca="1" si="33"/>
        <v>65.083333333333329</v>
      </c>
    </row>
    <row r="265" spans="1:15" hidden="1" x14ac:dyDescent="0.3">
      <c r="A265" s="1">
        <v>2670</v>
      </c>
      <c r="B265" s="14" t="s">
        <v>430</v>
      </c>
      <c r="C265" s="14" t="s">
        <v>68</v>
      </c>
      <c r="D265" s="15">
        <v>45434</v>
      </c>
      <c r="E265" s="15">
        <v>45997</v>
      </c>
      <c r="F265" s="1">
        <f t="shared" si="30"/>
        <v>563</v>
      </c>
      <c r="G265" s="1">
        <f t="shared" si="29"/>
        <v>523</v>
      </c>
      <c r="H265" s="1">
        <v>26</v>
      </c>
      <c r="I265" s="1">
        <v>14</v>
      </c>
      <c r="J265" s="13">
        <v>18.583333333333336</v>
      </c>
      <c r="K265" s="13">
        <f t="shared" si="31"/>
        <v>43.583333333333329</v>
      </c>
      <c r="L265" s="1">
        <v>0</v>
      </c>
      <c r="M265" s="13">
        <f t="shared" si="32"/>
        <v>43.583333333333329</v>
      </c>
      <c r="N265" s="13">
        <f>SUMIFS('Leave Tracker'!F:F,'Leave Tracker'!A:A,'Annual Leave Balance'!A265,'Leave Tracker'!C:C,"Annual Leave")</f>
        <v>0</v>
      </c>
      <c r="O265" s="13">
        <f t="shared" si="33"/>
        <v>43.583333333333329</v>
      </c>
    </row>
    <row r="266" spans="1:15" hidden="1" x14ac:dyDescent="0.3">
      <c r="A266" s="1">
        <v>2671</v>
      </c>
      <c r="B266" s="14" t="s">
        <v>431</v>
      </c>
      <c r="C266" s="14" t="s">
        <v>68</v>
      </c>
      <c r="D266" s="15">
        <v>45434</v>
      </c>
      <c r="E266" s="15">
        <v>45893</v>
      </c>
      <c r="F266" s="1">
        <f t="shared" si="30"/>
        <v>459</v>
      </c>
      <c r="G266" s="1">
        <f>F266-(H266+I266)+1</f>
        <v>441</v>
      </c>
      <c r="H266" s="1">
        <v>4</v>
      </c>
      <c r="I266" s="1">
        <v>15</v>
      </c>
      <c r="J266" s="13">
        <v>17</v>
      </c>
      <c r="K266" s="13">
        <f t="shared" si="31"/>
        <v>36.75</v>
      </c>
      <c r="L266" s="1">
        <v>0</v>
      </c>
      <c r="M266" s="13">
        <f t="shared" si="32"/>
        <v>36.75</v>
      </c>
      <c r="N266" s="13">
        <f>SUMIFS('Leave Tracker'!F:F,'Leave Tracker'!A:A,'Annual Leave Balance'!A266,'Leave Tracker'!C:C,"Annual Leave")</f>
        <v>0</v>
      </c>
      <c r="O266" s="13">
        <f t="shared" si="33"/>
        <v>36.75</v>
      </c>
    </row>
    <row r="267" spans="1:15" hidden="1" x14ac:dyDescent="0.3">
      <c r="A267" s="1">
        <v>2672</v>
      </c>
      <c r="B267" s="14" t="s">
        <v>432</v>
      </c>
      <c r="C267" s="14" t="s">
        <v>68</v>
      </c>
      <c r="D267" s="15">
        <v>45434</v>
      </c>
      <c r="E267" s="15">
        <f t="shared" ca="1" si="28"/>
        <v>46195</v>
      </c>
      <c r="F267" s="1">
        <f t="shared" ca="1" si="30"/>
        <v>761</v>
      </c>
      <c r="G267" s="1">
        <f t="shared" ca="1" si="29"/>
        <v>761</v>
      </c>
      <c r="H267" s="1">
        <v>0</v>
      </c>
      <c r="I267" s="1">
        <v>0</v>
      </c>
      <c r="J267" s="13">
        <v>18.583333333333336</v>
      </c>
      <c r="K267" s="13">
        <f t="shared" ca="1" si="31"/>
        <v>63.416666666666671</v>
      </c>
      <c r="L267" s="1">
        <v>0</v>
      </c>
      <c r="M267" s="13">
        <f t="shared" ca="1" si="32"/>
        <v>63.416666666666671</v>
      </c>
      <c r="N267" s="13">
        <f>SUMIFS('Leave Tracker'!F:F,'Leave Tracker'!A:A,'Annual Leave Balance'!A267,'Leave Tracker'!C:C,"Annual Leave")</f>
        <v>0</v>
      </c>
      <c r="O267" s="13">
        <f t="shared" ca="1" si="33"/>
        <v>63.416666666666671</v>
      </c>
    </row>
    <row r="268" spans="1:15" hidden="1" x14ac:dyDescent="0.3">
      <c r="A268" s="1">
        <v>2673</v>
      </c>
      <c r="B268" s="14" t="s">
        <v>433</v>
      </c>
      <c r="C268" s="14" t="s">
        <v>68</v>
      </c>
      <c r="D268" s="15">
        <v>45434</v>
      </c>
      <c r="E268" s="15">
        <f t="shared" ca="1" si="28"/>
        <v>46195</v>
      </c>
      <c r="F268" s="1">
        <f t="shared" ca="1" si="30"/>
        <v>761</v>
      </c>
      <c r="G268" s="1">
        <f t="shared" ca="1" si="29"/>
        <v>761</v>
      </c>
      <c r="H268" s="1">
        <v>0</v>
      </c>
      <c r="I268" s="1">
        <v>0</v>
      </c>
      <c r="J268" s="13">
        <v>18.583333333333336</v>
      </c>
      <c r="K268" s="13">
        <f t="shared" ca="1" si="31"/>
        <v>63.416666666666671</v>
      </c>
      <c r="L268" s="1">
        <v>0</v>
      </c>
      <c r="M268" s="13">
        <f t="shared" ca="1" si="32"/>
        <v>63.416666666666671</v>
      </c>
      <c r="N268" s="13">
        <f>SUMIFS('Leave Tracker'!F:F,'Leave Tracker'!A:A,'Annual Leave Balance'!A268,'Leave Tracker'!C:C,"Annual Leave")</f>
        <v>0</v>
      </c>
      <c r="O268" s="13">
        <f t="shared" ca="1" si="33"/>
        <v>63.416666666666671</v>
      </c>
    </row>
    <row r="269" spans="1:15" hidden="1" x14ac:dyDescent="0.3">
      <c r="A269" s="1">
        <v>2675</v>
      </c>
      <c r="B269" s="14" t="s">
        <v>434</v>
      </c>
      <c r="C269" s="14" t="s">
        <v>68</v>
      </c>
      <c r="D269" s="15">
        <v>45435</v>
      </c>
      <c r="E269" s="15">
        <f t="shared" ref="E269:E300" ca="1" si="34">TODAY()</f>
        <v>46195</v>
      </c>
      <c r="F269" s="1">
        <f t="shared" ca="1" si="30"/>
        <v>760</v>
      </c>
      <c r="G269" s="1">
        <f t="shared" ref="G269:G300" ca="1" si="35">F269-(H269+I269)</f>
        <v>760</v>
      </c>
      <c r="H269" s="1">
        <v>0</v>
      </c>
      <c r="I269" s="1">
        <v>0</v>
      </c>
      <c r="J269" s="13">
        <v>18.5</v>
      </c>
      <c r="K269" s="13">
        <f t="shared" ca="1" si="31"/>
        <v>63.333333333333336</v>
      </c>
      <c r="L269" s="1">
        <v>0</v>
      </c>
      <c r="M269" s="13">
        <f t="shared" ca="1" si="32"/>
        <v>63.333333333333336</v>
      </c>
      <c r="N269" s="13">
        <f>SUMIFS('Leave Tracker'!F:F,'Leave Tracker'!A:A,'Annual Leave Balance'!A269,'Leave Tracker'!C:C,"Annual Leave")</f>
        <v>0</v>
      </c>
      <c r="O269" s="13">
        <f t="shared" ca="1" si="33"/>
        <v>63.333333333333336</v>
      </c>
    </row>
    <row r="270" spans="1:15" hidden="1" x14ac:dyDescent="0.3">
      <c r="A270" s="1">
        <v>2676</v>
      </c>
      <c r="B270" s="14" t="s">
        <v>435</v>
      </c>
      <c r="C270" s="14" t="s">
        <v>68</v>
      </c>
      <c r="D270" s="15">
        <v>45435</v>
      </c>
      <c r="E270" s="15">
        <f t="shared" ca="1" si="34"/>
        <v>46195</v>
      </c>
      <c r="F270" s="1">
        <f t="shared" ca="1" si="30"/>
        <v>760</v>
      </c>
      <c r="G270" s="1">
        <f t="shared" ca="1" si="35"/>
        <v>760</v>
      </c>
      <c r="H270" s="1">
        <v>0</v>
      </c>
      <c r="I270" s="1">
        <v>0</v>
      </c>
      <c r="J270" s="13">
        <v>18.5</v>
      </c>
      <c r="K270" s="13">
        <f t="shared" ca="1" si="31"/>
        <v>63.333333333333336</v>
      </c>
      <c r="L270" s="1">
        <v>0</v>
      </c>
      <c r="M270" s="13">
        <f t="shared" ca="1" si="32"/>
        <v>63.333333333333336</v>
      </c>
      <c r="N270" s="13">
        <f>SUMIFS('Leave Tracker'!F:F,'Leave Tracker'!A:A,'Annual Leave Balance'!A270,'Leave Tracker'!C:C,"Annual Leave")</f>
        <v>0</v>
      </c>
      <c r="O270" s="13">
        <f t="shared" ca="1" si="33"/>
        <v>63.333333333333336</v>
      </c>
    </row>
    <row r="271" spans="1:15" hidden="1" x14ac:dyDescent="0.3">
      <c r="A271" s="1">
        <v>2677</v>
      </c>
      <c r="B271" s="14" t="s">
        <v>436</v>
      </c>
      <c r="C271" s="14" t="s">
        <v>68</v>
      </c>
      <c r="D271" s="15">
        <v>45439</v>
      </c>
      <c r="E271" s="15">
        <f t="shared" ca="1" si="34"/>
        <v>46195</v>
      </c>
      <c r="F271" s="1">
        <f t="shared" ca="1" si="30"/>
        <v>756</v>
      </c>
      <c r="G271" s="1">
        <f t="shared" ca="1" si="35"/>
        <v>756</v>
      </c>
      <c r="H271" s="1">
        <v>0</v>
      </c>
      <c r="I271" s="1">
        <v>0</v>
      </c>
      <c r="J271" s="13">
        <v>18.166666666666664</v>
      </c>
      <c r="K271" s="13">
        <f t="shared" ca="1" si="31"/>
        <v>63</v>
      </c>
      <c r="L271" s="1">
        <v>0</v>
      </c>
      <c r="M271" s="13">
        <f t="shared" ca="1" si="32"/>
        <v>63</v>
      </c>
      <c r="N271" s="13">
        <f>SUMIFS('Leave Tracker'!F:F,'Leave Tracker'!A:A,'Annual Leave Balance'!A271,'Leave Tracker'!C:C,"Annual Leave")</f>
        <v>0</v>
      </c>
      <c r="O271" s="13">
        <f t="shared" ca="1" si="33"/>
        <v>63</v>
      </c>
    </row>
    <row r="272" spans="1:15" hidden="1" x14ac:dyDescent="0.3">
      <c r="A272" s="1">
        <v>2680</v>
      </c>
      <c r="B272" s="14" t="s">
        <v>437</v>
      </c>
      <c r="C272" s="14" t="s">
        <v>438</v>
      </c>
      <c r="D272" s="15">
        <v>45440</v>
      </c>
      <c r="E272" s="15">
        <f t="shared" ca="1" si="34"/>
        <v>46195</v>
      </c>
      <c r="F272" s="1">
        <f t="shared" ca="1" si="30"/>
        <v>755</v>
      </c>
      <c r="G272" s="1">
        <f t="shared" ca="1" si="35"/>
        <v>755</v>
      </c>
      <c r="H272" s="1">
        <v>0</v>
      </c>
      <c r="I272" s="1">
        <v>0</v>
      </c>
      <c r="J272" s="13">
        <v>18.083333333333332</v>
      </c>
      <c r="K272" s="13">
        <f t="shared" ca="1" si="31"/>
        <v>62.916666666666671</v>
      </c>
      <c r="L272" s="1">
        <v>0</v>
      </c>
      <c r="M272" s="13">
        <f t="shared" ca="1" si="32"/>
        <v>62.916666666666671</v>
      </c>
      <c r="N272" s="13">
        <f>SUMIFS('Leave Tracker'!F:F,'Leave Tracker'!A:A,'Annual Leave Balance'!A272,'Leave Tracker'!C:C,"Annual Leave")</f>
        <v>0</v>
      </c>
      <c r="O272" s="13">
        <f t="shared" ca="1" si="33"/>
        <v>62.916666666666671</v>
      </c>
    </row>
    <row r="273" spans="1:15" hidden="1" x14ac:dyDescent="0.3">
      <c r="A273" s="1">
        <v>2681</v>
      </c>
      <c r="B273" s="14" t="s">
        <v>439</v>
      </c>
      <c r="C273" s="14" t="s">
        <v>68</v>
      </c>
      <c r="D273" s="15">
        <v>45422</v>
      </c>
      <c r="E273" s="15">
        <f t="shared" ca="1" si="34"/>
        <v>46195</v>
      </c>
      <c r="F273" s="1">
        <f t="shared" ca="1" si="30"/>
        <v>773</v>
      </c>
      <c r="G273" s="1">
        <f t="shared" ca="1" si="35"/>
        <v>773</v>
      </c>
      <c r="H273" s="1">
        <v>0</v>
      </c>
      <c r="I273" s="1">
        <v>0</v>
      </c>
      <c r="J273" s="13">
        <v>19.583333333333332</v>
      </c>
      <c r="K273" s="13">
        <f t="shared" ca="1" si="31"/>
        <v>64.416666666666657</v>
      </c>
      <c r="L273" s="1">
        <v>0</v>
      </c>
      <c r="M273" s="13">
        <f t="shared" ca="1" si="32"/>
        <v>64.416666666666657</v>
      </c>
      <c r="N273" s="13">
        <f>SUMIFS('Leave Tracker'!F:F,'Leave Tracker'!A:A,'Annual Leave Balance'!A273,'Leave Tracker'!C:C,"Annual Leave")</f>
        <v>0</v>
      </c>
      <c r="O273" s="13">
        <f t="shared" ca="1" si="33"/>
        <v>64.416666666666657</v>
      </c>
    </row>
    <row r="274" spans="1:15" hidden="1" x14ac:dyDescent="0.3">
      <c r="A274" s="1">
        <v>2682</v>
      </c>
      <c r="B274" s="14" t="s">
        <v>440</v>
      </c>
      <c r="C274" s="14" t="s">
        <v>441</v>
      </c>
      <c r="D274" s="15">
        <v>45442</v>
      </c>
      <c r="E274" s="15">
        <f t="shared" ca="1" si="34"/>
        <v>46195</v>
      </c>
      <c r="F274" s="1">
        <f t="shared" ca="1" si="30"/>
        <v>753</v>
      </c>
      <c r="G274" s="1">
        <f t="shared" ca="1" si="35"/>
        <v>753</v>
      </c>
      <c r="H274" s="1">
        <v>0</v>
      </c>
      <c r="I274" s="1">
        <v>0</v>
      </c>
      <c r="J274" s="13">
        <v>17.916666666666668</v>
      </c>
      <c r="K274" s="13">
        <f t="shared" ca="1" si="31"/>
        <v>62.75</v>
      </c>
      <c r="L274" s="1">
        <v>0</v>
      </c>
      <c r="M274" s="13">
        <f t="shared" ca="1" si="32"/>
        <v>62.75</v>
      </c>
      <c r="N274" s="13">
        <f>SUMIFS('Leave Tracker'!F:F,'Leave Tracker'!A:A,'Annual Leave Balance'!A274,'Leave Tracker'!C:C,"Annual Leave")</f>
        <v>30</v>
      </c>
      <c r="O274" s="13">
        <f t="shared" ca="1" si="33"/>
        <v>32.75</v>
      </c>
    </row>
    <row r="275" spans="1:15" hidden="1" x14ac:dyDescent="0.3">
      <c r="A275" s="1">
        <v>2683</v>
      </c>
      <c r="B275" s="14" t="s">
        <v>442</v>
      </c>
      <c r="C275" s="14" t="s">
        <v>68</v>
      </c>
      <c r="D275" s="15">
        <v>45449</v>
      </c>
      <c r="E275" s="15">
        <f t="shared" ca="1" si="34"/>
        <v>46195</v>
      </c>
      <c r="F275" s="1">
        <f t="shared" ca="1" si="30"/>
        <v>746</v>
      </c>
      <c r="G275" s="1">
        <f t="shared" ca="1" si="35"/>
        <v>746</v>
      </c>
      <c r="H275" s="1">
        <v>0</v>
      </c>
      <c r="I275" s="1">
        <v>0</v>
      </c>
      <c r="J275" s="13">
        <v>17.333333333333332</v>
      </c>
      <c r="K275" s="13">
        <f t="shared" ca="1" si="31"/>
        <v>62.166666666666671</v>
      </c>
      <c r="L275" s="1">
        <v>0</v>
      </c>
      <c r="M275" s="13">
        <f t="shared" ca="1" si="32"/>
        <v>62.166666666666671</v>
      </c>
      <c r="N275" s="13">
        <f>SUMIFS('Leave Tracker'!F:F,'Leave Tracker'!A:A,'Annual Leave Balance'!A275,'Leave Tracker'!C:C,"Annual Leave")</f>
        <v>0</v>
      </c>
      <c r="O275" s="13">
        <f t="shared" ca="1" si="33"/>
        <v>62.166666666666671</v>
      </c>
    </row>
    <row r="276" spans="1:15" hidden="1" x14ac:dyDescent="0.3">
      <c r="A276" s="1">
        <v>2684</v>
      </c>
      <c r="B276" s="14" t="s">
        <v>443</v>
      </c>
      <c r="C276" s="14" t="s">
        <v>68</v>
      </c>
      <c r="D276" s="15">
        <v>45449</v>
      </c>
      <c r="E276" s="15">
        <f t="shared" ca="1" si="34"/>
        <v>46195</v>
      </c>
      <c r="F276" s="1">
        <f t="shared" ca="1" si="30"/>
        <v>746</v>
      </c>
      <c r="G276" s="1">
        <f t="shared" ca="1" si="35"/>
        <v>746</v>
      </c>
      <c r="H276" s="1">
        <v>0</v>
      </c>
      <c r="I276" s="1">
        <v>0</v>
      </c>
      <c r="J276" s="13">
        <v>17.333333333333332</v>
      </c>
      <c r="K276" s="13">
        <f t="shared" ca="1" si="31"/>
        <v>62.166666666666671</v>
      </c>
      <c r="L276" s="1">
        <v>0</v>
      </c>
      <c r="M276" s="13">
        <f t="shared" ca="1" si="32"/>
        <v>62.166666666666671</v>
      </c>
      <c r="N276" s="13">
        <f>SUMIFS('Leave Tracker'!F:F,'Leave Tracker'!A:A,'Annual Leave Balance'!A276,'Leave Tracker'!C:C,"Annual Leave")</f>
        <v>0</v>
      </c>
      <c r="O276" s="13">
        <f t="shared" ca="1" si="33"/>
        <v>62.166666666666671</v>
      </c>
    </row>
    <row r="277" spans="1:15" hidden="1" x14ac:dyDescent="0.3">
      <c r="A277" s="1">
        <v>2685</v>
      </c>
      <c r="B277" s="14" t="s">
        <v>444</v>
      </c>
      <c r="C277" s="14" t="s">
        <v>68</v>
      </c>
      <c r="D277" s="15">
        <v>45449</v>
      </c>
      <c r="E277" s="15">
        <f t="shared" ca="1" si="34"/>
        <v>46195</v>
      </c>
      <c r="F277" s="1">
        <f t="shared" ca="1" si="30"/>
        <v>746</v>
      </c>
      <c r="G277" s="1">
        <f t="shared" ca="1" si="35"/>
        <v>746</v>
      </c>
      <c r="H277" s="1">
        <v>0</v>
      </c>
      <c r="I277" s="1">
        <v>0</v>
      </c>
      <c r="J277" s="13">
        <v>17.333333333333332</v>
      </c>
      <c r="K277" s="13">
        <f t="shared" ca="1" si="31"/>
        <v>62.166666666666671</v>
      </c>
      <c r="L277" s="1">
        <v>0</v>
      </c>
      <c r="M277" s="13">
        <f t="shared" ca="1" si="32"/>
        <v>62.166666666666671</v>
      </c>
      <c r="N277" s="13">
        <f>SUMIFS('Leave Tracker'!F:F,'Leave Tracker'!A:A,'Annual Leave Balance'!A277,'Leave Tracker'!C:C,"Annual Leave")</f>
        <v>0</v>
      </c>
      <c r="O277" s="13">
        <f t="shared" ca="1" si="33"/>
        <v>62.166666666666671</v>
      </c>
    </row>
    <row r="278" spans="1:15" hidden="1" x14ac:dyDescent="0.3">
      <c r="A278" s="1">
        <v>2687</v>
      </c>
      <c r="B278" s="14" t="s">
        <v>445</v>
      </c>
      <c r="C278" s="14" t="s">
        <v>446</v>
      </c>
      <c r="D278" s="15">
        <v>45456</v>
      </c>
      <c r="E278" s="15">
        <f t="shared" ca="1" si="34"/>
        <v>46195</v>
      </c>
      <c r="F278" s="1">
        <f t="shared" ca="1" si="30"/>
        <v>739</v>
      </c>
      <c r="G278" s="1">
        <f t="shared" ca="1" si="35"/>
        <v>739</v>
      </c>
      <c r="H278" s="1">
        <v>0</v>
      </c>
      <c r="I278" s="1">
        <v>0</v>
      </c>
      <c r="J278" s="13">
        <v>16.75</v>
      </c>
      <c r="K278" s="13">
        <f t="shared" ca="1" si="31"/>
        <v>61.583333333333329</v>
      </c>
      <c r="L278" s="1">
        <v>0</v>
      </c>
      <c r="M278" s="13">
        <f t="shared" ca="1" si="32"/>
        <v>61.583333333333329</v>
      </c>
      <c r="N278" s="13">
        <f>SUMIFS('Leave Tracker'!F:F,'Leave Tracker'!A:A,'Annual Leave Balance'!A278,'Leave Tracker'!C:C,"Annual Leave")</f>
        <v>33</v>
      </c>
      <c r="O278" s="13">
        <f t="shared" ca="1" si="33"/>
        <v>28.583333333333329</v>
      </c>
    </row>
    <row r="279" spans="1:15" hidden="1" x14ac:dyDescent="0.3">
      <c r="A279" s="1">
        <v>2689</v>
      </c>
      <c r="B279" s="14" t="s">
        <v>447</v>
      </c>
      <c r="C279" s="14" t="s">
        <v>448</v>
      </c>
      <c r="D279" s="15">
        <v>45467</v>
      </c>
      <c r="E279" s="15">
        <f t="shared" ca="1" si="34"/>
        <v>46195</v>
      </c>
      <c r="F279" s="1">
        <f t="shared" ca="1" si="30"/>
        <v>728</v>
      </c>
      <c r="G279" s="1">
        <f t="shared" ca="1" si="35"/>
        <v>728</v>
      </c>
      <c r="H279" s="1">
        <v>0</v>
      </c>
      <c r="I279" s="1">
        <v>0</v>
      </c>
      <c r="J279" s="13">
        <v>0</v>
      </c>
      <c r="K279" s="13">
        <f t="shared" ca="1" si="31"/>
        <v>60.666666666666664</v>
      </c>
      <c r="L279" s="1">
        <v>0</v>
      </c>
      <c r="M279" s="13">
        <f t="shared" ca="1" si="32"/>
        <v>60.666666666666664</v>
      </c>
      <c r="N279" s="13">
        <f>SUMIFS('Leave Tracker'!F:F,'Leave Tracker'!A:A,'Annual Leave Balance'!A279,'Leave Tracker'!C:C,"Annual Leave")</f>
        <v>33</v>
      </c>
      <c r="O279" s="13">
        <f t="shared" ca="1" si="33"/>
        <v>27.666666666666664</v>
      </c>
    </row>
    <row r="280" spans="1:15" hidden="1" x14ac:dyDescent="0.3">
      <c r="A280" s="1">
        <v>2690</v>
      </c>
      <c r="B280" s="14" t="s">
        <v>449</v>
      </c>
      <c r="C280" s="14" t="s">
        <v>450</v>
      </c>
      <c r="D280" s="15">
        <v>45468</v>
      </c>
      <c r="E280" s="15">
        <f t="shared" ca="1" si="34"/>
        <v>46195</v>
      </c>
      <c r="F280" s="1">
        <f t="shared" ca="1" si="30"/>
        <v>727</v>
      </c>
      <c r="G280" s="1">
        <f t="shared" ca="1" si="35"/>
        <v>727</v>
      </c>
      <c r="H280" s="1">
        <v>0</v>
      </c>
      <c r="I280" s="1">
        <v>0</v>
      </c>
      <c r="J280" s="13">
        <v>0</v>
      </c>
      <c r="K280" s="13">
        <f t="shared" ca="1" si="31"/>
        <v>60.583333333333329</v>
      </c>
      <c r="L280" s="1">
        <v>0</v>
      </c>
      <c r="M280" s="13">
        <f t="shared" ca="1" si="32"/>
        <v>60.583333333333329</v>
      </c>
      <c r="N280" s="13">
        <f>SUMIFS('Leave Tracker'!F:F,'Leave Tracker'!A:A,'Annual Leave Balance'!A280,'Leave Tracker'!C:C,"Annual Leave")</f>
        <v>30</v>
      </c>
      <c r="O280" s="13">
        <f t="shared" ca="1" si="33"/>
        <v>30.583333333333329</v>
      </c>
    </row>
    <row r="281" spans="1:15" hidden="1" x14ac:dyDescent="0.3">
      <c r="A281" s="1">
        <v>2691</v>
      </c>
      <c r="B281" s="14" t="s">
        <v>451</v>
      </c>
      <c r="C281" s="14" t="s">
        <v>452</v>
      </c>
      <c r="D281" s="15">
        <v>45474</v>
      </c>
      <c r="E281" s="15">
        <f t="shared" ca="1" si="34"/>
        <v>46195</v>
      </c>
      <c r="F281" s="1">
        <f t="shared" ca="1" si="30"/>
        <v>721</v>
      </c>
      <c r="G281" s="1">
        <f t="shared" ca="1" si="35"/>
        <v>721</v>
      </c>
      <c r="H281" s="1">
        <v>0</v>
      </c>
      <c r="I281" s="1">
        <v>0</v>
      </c>
      <c r="J281" s="13">
        <v>0</v>
      </c>
      <c r="K281" s="13">
        <f t="shared" ca="1" si="31"/>
        <v>60.083333333333336</v>
      </c>
      <c r="L281" s="1">
        <v>0</v>
      </c>
      <c r="M281" s="13">
        <f t="shared" ca="1" si="32"/>
        <v>60.083333333333336</v>
      </c>
      <c r="N281" s="13">
        <f>SUMIFS('Leave Tracker'!F:F,'Leave Tracker'!A:A,'Annual Leave Balance'!A281,'Leave Tracker'!C:C,"Annual Leave")</f>
        <v>0</v>
      </c>
      <c r="O281" s="13">
        <f t="shared" ca="1" si="33"/>
        <v>60.083333333333336</v>
      </c>
    </row>
    <row r="282" spans="1:15" hidden="1" x14ac:dyDescent="0.3">
      <c r="A282" s="1">
        <v>2692</v>
      </c>
      <c r="B282" s="14" t="s">
        <v>453</v>
      </c>
      <c r="C282" s="14" t="s">
        <v>454</v>
      </c>
      <c r="D282" s="15">
        <v>45477</v>
      </c>
      <c r="E282" s="15">
        <f t="shared" ca="1" si="34"/>
        <v>46195</v>
      </c>
      <c r="F282" s="1">
        <f t="shared" ca="1" si="30"/>
        <v>718</v>
      </c>
      <c r="G282" s="1">
        <f t="shared" ca="1" si="35"/>
        <v>718</v>
      </c>
      <c r="H282" s="1">
        <v>0</v>
      </c>
      <c r="I282" s="1">
        <v>0</v>
      </c>
      <c r="J282" s="13">
        <v>0</v>
      </c>
      <c r="K282" s="13">
        <f t="shared" ca="1" si="31"/>
        <v>59.833333333333336</v>
      </c>
      <c r="L282" s="1">
        <v>0</v>
      </c>
      <c r="M282" s="13">
        <f t="shared" ca="1" si="32"/>
        <v>59.833333333333336</v>
      </c>
      <c r="N282" s="13">
        <f>SUMIFS('Leave Tracker'!F:F,'Leave Tracker'!A:A,'Annual Leave Balance'!A282,'Leave Tracker'!C:C,"Annual Leave")</f>
        <v>62</v>
      </c>
      <c r="O282" s="13">
        <f t="shared" ca="1" si="33"/>
        <v>-2.1666666666666643</v>
      </c>
    </row>
    <row r="283" spans="1:15" hidden="1" x14ac:dyDescent="0.3">
      <c r="A283" s="1">
        <v>2695</v>
      </c>
      <c r="B283" s="14" t="s">
        <v>455</v>
      </c>
      <c r="C283" s="14" t="s">
        <v>40</v>
      </c>
      <c r="D283" s="15">
        <v>45488</v>
      </c>
      <c r="E283" s="15">
        <f t="shared" ca="1" si="34"/>
        <v>46195</v>
      </c>
      <c r="F283" s="1">
        <f t="shared" ca="1" si="30"/>
        <v>707</v>
      </c>
      <c r="G283" s="1">
        <f t="shared" ca="1" si="35"/>
        <v>707</v>
      </c>
      <c r="H283" s="1">
        <v>0</v>
      </c>
      <c r="I283" s="1">
        <v>0</v>
      </c>
      <c r="J283" s="13">
        <v>0</v>
      </c>
      <c r="K283" s="13">
        <f t="shared" ca="1" si="31"/>
        <v>58.916666666666664</v>
      </c>
      <c r="L283" s="1">
        <v>0</v>
      </c>
      <c r="M283" s="13">
        <f t="shared" ca="1" si="32"/>
        <v>58.916666666666664</v>
      </c>
      <c r="N283" s="13">
        <f>SUMIFS('Leave Tracker'!F:F,'Leave Tracker'!A:A,'Annual Leave Balance'!A283,'Leave Tracker'!C:C,"Annual Leave")</f>
        <v>0</v>
      </c>
      <c r="O283" s="13">
        <f t="shared" ca="1" si="33"/>
        <v>58.916666666666664</v>
      </c>
    </row>
    <row r="284" spans="1:15" hidden="1" x14ac:dyDescent="0.3">
      <c r="A284" s="1">
        <v>2696</v>
      </c>
      <c r="B284" s="14" t="s">
        <v>456</v>
      </c>
      <c r="C284" s="14" t="s">
        <v>399</v>
      </c>
      <c r="D284" s="15">
        <v>45490</v>
      </c>
      <c r="E284" s="15">
        <f t="shared" ca="1" si="34"/>
        <v>46195</v>
      </c>
      <c r="F284" s="1">
        <f t="shared" ca="1" si="30"/>
        <v>705</v>
      </c>
      <c r="G284" s="1">
        <f t="shared" ca="1" si="35"/>
        <v>705</v>
      </c>
      <c r="H284" s="1">
        <v>0</v>
      </c>
      <c r="I284" s="1">
        <v>0</v>
      </c>
      <c r="J284" s="13">
        <v>0</v>
      </c>
      <c r="K284" s="13">
        <f t="shared" ca="1" si="31"/>
        <v>58.75</v>
      </c>
      <c r="L284" s="1">
        <v>0</v>
      </c>
      <c r="M284" s="13">
        <f t="shared" ca="1" si="32"/>
        <v>58.75</v>
      </c>
      <c r="N284" s="13">
        <f>SUMIFS('Leave Tracker'!F:F,'Leave Tracker'!A:A,'Annual Leave Balance'!A284,'Leave Tracker'!C:C,"Annual Leave")</f>
        <v>30</v>
      </c>
      <c r="O284" s="13">
        <f t="shared" ca="1" si="33"/>
        <v>28.75</v>
      </c>
    </row>
    <row r="285" spans="1:15" hidden="1" x14ac:dyDescent="0.3">
      <c r="A285" s="1">
        <v>2699</v>
      </c>
      <c r="B285" s="14" t="s">
        <v>457</v>
      </c>
      <c r="C285" s="14" t="s">
        <v>458</v>
      </c>
      <c r="D285" s="15">
        <v>45505</v>
      </c>
      <c r="E285" s="15">
        <f t="shared" ca="1" si="34"/>
        <v>46195</v>
      </c>
      <c r="F285" s="1">
        <f t="shared" ca="1" si="30"/>
        <v>690</v>
      </c>
      <c r="G285" s="1">
        <f t="shared" ca="1" si="35"/>
        <v>690</v>
      </c>
      <c r="H285" s="1">
        <v>0</v>
      </c>
      <c r="I285" s="1">
        <v>0</v>
      </c>
      <c r="J285" s="13">
        <v>0</v>
      </c>
      <c r="K285" s="13">
        <f t="shared" ca="1" si="31"/>
        <v>57.5</v>
      </c>
      <c r="L285" s="1">
        <v>0</v>
      </c>
      <c r="M285" s="13">
        <f t="shared" ca="1" si="32"/>
        <v>57.5</v>
      </c>
      <c r="N285" s="13">
        <f>SUMIFS('Leave Tracker'!F:F,'Leave Tracker'!A:A,'Annual Leave Balance'!A285,'Leave Tracker'!C:C,"Annual Leave")</f>
        <v>15</v>
      </c>
      <c r="O285" s="13">
        <f t="shared" ca="1" si="33"/>
        <v>42.5</v>
      </c>
    </row>
    <row r="286" spans="1:15" hidden="1" x14ac:dyDescent="0.3">
      <c r="A286" s="1">
        <v>2700</v>
      </c>
      <c r="B286" s="47" t="s">
        <v>459</v>
      </c>
      <c r="C286" s="14" t="s">
        <v>460</v>
      </c>
      <c r="D286" s="15">
        <v>45505</v>
      </c>
      <c r="E286" s="15">
        <v>46022</v>
      </c>
      <c r="F286" s="1">
        <f t="shared" si="30"/>
        <v>517</v>
      </c>
      <c r="G286" s="1">
        <f t="shared" si="35"/>
        <v>517</v>
      </c>
      <c r="H286" s="1">
        <v>0</v>
      </c>
      <c r="I286" s="1">
        <v>0</v>
      </c>
      <c r="J286" s="13">
        <v>0</v>
      </c>
      <c r="K286" s="13">
        <f t="shared" si="31"/>
        <v>43.083333333333336</v>
      </c>
      <c r="L286" s="1">
        <v>0</v>
      </c>
      <c r="M286" s="13">
        <f t="shared" si="32"/>
        <v>43.083333333333336</v>
      </c>
      <c r="N286" s="13">
        <f>SUMIFS('Leave Tracker'!F:F,'Leave Tracker'!A:A,'Annual Leave Balance'!A286,'Leave Tracker'!C:C,"Annual Leave")</f>
        <v>0</v>
      </c>
      <c r="O286" s="13">
        <f t="shared" si="33"/>
        <v>43.083333333333336</v>
      </c>
    </row>
    <row r="287" spans="1:15" hidden="1" x14ac:dyDescent="0.3">
      <c r="A287" s="1">
        <v>2702</v>
      </c>
      <c r="B287" s="14" t="s">
        <v>461</v>
      </c>
      <c r="C287" s="14" t="s">
        <v>406</v>
      </c>
      <c r="D287" s="15">
        <v>45518</v>
      </c>
      <c r="E287" s="15">
        <f t="shared" ca="1" si="34"/>
        <v>46195</v>
      </c>
      <c r="F287" s="1">
        <f t="shared" ca="1" si="30"/>
        <v>677</v>
      </c>
      <c r="G287" s="1">
        <f t="shared" ca="1" si="35"/>
        <v>677</v>
      </c>
      <c r="H287" s="1">
        <v>0</v>
      </c>
      <c r="I287" s="1">
        <v>0</v>
      </c>
      <c r="J287" s="13">
        <v>0</v>
      </c>
      <c r="K287" s="13">
        <f t="shared" ca="1" si="31"/>
        <v>56.416666666666664</v>
      </c>
      <c r="L287" s="1">
        <v>0</v>
      </c>
      <c r="M287" s="13">
        <f t="shared" ca="1" si="32"/>
        <v>56.416666666666664</v>
      </c>
      <c r="N287" s="13">
        <f>SUMIFS('Leave Tracker'!F:F,'Leave Tracker'!A:A,'Annual Leave Balance'!A287,'Leave Tracker'!C:C,"Annual Leave")</f>
        <v>0</v>
      </c>
      <c r="O287" s="13">
        <f t="shared" ca="1" si="33"/>
        <v>56.416666666666664</v>
      </c>
    </row>
    <row r="288" spans="1:15" hidden="1" x14ac:dyDescent="0.3">
      <c r="A288" s="1">
        <v>2703</v>
      </c>
      <c r="B288" s="14" t="s">
        <v>462</v>
      </c>
      <c r="C288" s="14" t="s">
        <v>371</v>
      </c>
      <c r="D288" s="15">
        <v>45526</v>
      </c>
      <c r="E288" s="15">
        <f t="shared" ca="1" si="34"/>
        <v>46195</v>
      </c>
      <c r="F288" s="1">
        <f t="shared" ca="1" si="30"/>
        <v>669</v>
      </c>
      <c r="G288" s="1">
        <f t="shared" ca="1" si="35"/>
        <v>669</v>
      </c>
      <c r="H288" s="1">
        <v>0</v>
      </c>
      <c r="I288" s="1">
        <v>0</v>
      </c>
      <c r="J288" s="13">
        <v>0</v>
      </c>
      <c r="K288" s="13">
        <f t="shared" ca="1" si="31"/>
        <v>55.75</v>
      </c>
      <c r="L288" s="1">
        <v>0</v>
      </c>
      <c r="M288" s="13">
        <f t="shared" ca="1" si="32"/>
        <v>55.75</v>
      </c>
      <c r="N288" s="13">
        <f>SUMIFS('Leave Tracker'!F:F,'Leave Tracker'!A:A,'Annual Leave Balance'!A288,'Leave Tracker'!C:C,"Annual Leave")</f>
        <v>0</v>
      </c>
      <c r="O288" s="13">
        <f t="shared" ca="1" si="33"/>
        <v>55.75</v>
      </c>
    </row>
    <row r="289" spans="1:15" hidden="1" x14ac:dyDescent="0.3">
      <c r="A289" s="1">
        <v>2705</v>
      </c>
      <c r="B289" s="14" t="s">
        <v>463</v>
      </c>
      <c r="C289" s="14" t="s">
        <v>412</v>
      </c>
      <c r="D289" s="15">
        <v>45524</v>
      </c>
      <c r="E289" s="15">
        <f t="shared" ca="1" si="34"/>
        <v>46195</v>
      </c>
      <c r="F289" s="1">
        <f t="shared" ca="1" si="30"/>
        <v>671</v>
      </c>
      <c r="G289" s="1">
        <f t="shared" ca="1" si="35"/>
        <v>671</v>
      </c>
      <c r="H289" s="1">
        <v>0</v>
      </c>
      <c r="I289" s="1">
        <v>0</v>
      </c>
      <c r="J289" s="13">
        <v>0</v>
      </c>
      <c r="K289" s="13">
        <f t="shared" ca="1" si="31"/>
        <v>55.916666666666671</v>
      </c>
      <c r="L289" s="1">
        <v>0</v>
      </c>
      <c r="M289" s="13">
        <f t="shared" ca="1" si="32"/>
        <v>55.916666666666671</v>
      </c>
      <c r="N289" s="13">
        <f>SUMIFS('Leave Tracker'!F:F,'Leave Tracker'!A:A,'Annual Leave Balance'!A289,'Leave Tracker'!C:C,"Annual Leave")</f>
        <v>0</v>
      </c>
      <c r="O289" s="13">
        <f t="shared" ca="1" si="33"/>
        <v>55.916666666666671</v>
      </c>
    </row>
    <row r="290" spans="1:15" hidden="1" x14ac:dyDescent="0.3">
      <c r="A290" s="1">
        <v>2706</v>
      </c>
      <c r="B290" s="14" t="s">
        <v>464</v>
      </c>
      <c r="C290" s="14" t="s">
        <v>412</v>
      </c>
      <c r="D290" s="15">
        <v>45539</v>
      </c>
      <c r="E290" s="15">
        <f t="shared" ca="1" si="34"/>
        <v>46195</v>
      </c>
      <c r="F290" s="1">
        <f t="shared" ca="1" si="30"/>
        <v>656</v>
      </c>
      <c r="G290" s="1">
        <f t="shared" ca="1" si="35"/>
        <v>656</v>
      </c>
      <c r="H290" s="1">
        <v>0</v>
      </c>
      <c r="I290" s="1">
        <v>0</v>
      </c>
      <c r="J290" s="13">
        <v>0</v>
      </c>
      <c r="K290" s="13">
        <f t="shared" ca="1" si="31"/>
        <v>54.666666666666664</v>
      </c>
      <c r="L290" s="1">
        <v>0</v>
      </c>
      <c r="M290" s="13">
        <f t="shared" ca="1" si="32"/>
        <v>54.666666666666664</v>
      </c>
      <c r="N290" s="13">
        <f>SUMIFS('Leave Tracker'!F:F,'Leave Tracker'!A:A,'Annual Leave Balance'!A290,'Leave Tracker'!C:C,"Annual Leave")</f>
        <v>0</v>
      </c>
      <c r="O290" s="13">
        <f t="shared" ca="1" si="33"/>
        <v>54.666666666666664</v>
      </c>
    </row>
    <row r="291" spans="1:15" hidden="1" x14ac:dyDescent="0.3">
      <c r="A291" s="1">
        <v>2707</v>
      </c>
      <c r="B291" s="14" t="s">
        <v>465</v>
      </c>
      <c r="C291" s="14" t="s">
        <v>466</v>
      </c>
      <c r="D291" s="15">
        <v>45481</v>
      </c>
      <c r="E291" s="15">
        <f t="shared" ca="1" si="34"/>
        <v>46195</v>
      </c>
      <c r="F291" s="1">
        <f t="shared" ca="1" si="30"/>
        <v>714</v>
      </c>
      <c r="G291" s="1">
        <f t="shared" ca="1" si="35"/>
        <v>714</v>
      </c>
      <c r="H291" s="1">
        <v>0</v>
      </c>
      <c r="I291" s="1">
        <v>0</v>
      </c>
      <c r="J291" s="13">
        <v>0</v>
      </c>
      <c r="K291" s="13">
        <f t="shared" ca="1" si="31"/>
        <v>59.5</v>
      </c>
      <c r="L291" s="1">
        <v>0</v>
      </c>
      <c r="M291" s="13">
        <f t="shared" ca="1" si="32"/>
        <v>59.5</v>
      </c>
      <c r="N291" s="13">
        <f>SUMIFS('Leave Tracker'!F:F,'Leave Tracker'!A:A,'Annual Leave Balance'!A291,'Leave Tracker'!C:C,"Annual Leave")</f>
        <v>16</v>
      </c>
      <c r="O291" s="13">
        <f t="shared" ca="1" si="33"/>
        <v>43.5</v>
      </c>
    </row>
    <row r="292" spans="1:15" hidden="1" x14ac:dyDescent="0.3">
      <c r="A292" s="1">
        <v>2708</v>
      </c>
      <c r="B292" s="14" t="s">
        <v>467</v>
      </c>
      <c r="C292" s="14" t="s">
        <v>468</v>
      </c>
      <c r="D292" s="15">
        <v>45533</v>
      </c>
      <c r="E292" s="15">
        <f t="shared" ca="1" si="34"/>
        <v>46195</v>
      </c>
      <c r="F292" s="1">
        <f t="shared" ca="1" si="30"/>
        <v>662</v>
      </c>
      <c r="G292" s="1">
        <f t="shared" ca="1" si="35"/>
        <v>662</v>
      </c>
      <c r="H292" s="1">
        <v>0</v>
      </c>
      <c r="I292" s="1">
        <v>0</v>
      </c>
      <c r="J292" s="13">
        <v>0</v>
      </c>
      <c r="K292" s="13">
        <f t="shared" ca="1" si="31"/>
        <v>55.166666666666664</v>
      </c>
      <c r="L292" s="1">
        <v>0</v>
      </c>
      <c r="M292" s="13">
        <f t="shared" ca="1" si="32"/>
        <v>55.166666666666664</v>
      </c>
      <c r="N292" s="13">
        <f>SUMIFS('Leave Tracker'!F:F,'Leave Tracker'!A:A,'Annual Leave Balance'!A292,'Leave Tracker'!C:C,"Annual Leave")</f>
        <v>0</v>
      </c>
      <c r="O292" s="13">
        <f t="shared" ca="1" si="33"/>
        <v>55.166666666666664</v>
      </c>
    </row>
    <row r="293" spans="1:15" hidden="1" x14ac:dyDescent="0.3">
      <c r="A293" s="1">
        <v>2709</v>
      </c>
      <c r="B293" s="14" t="s">
        <v>469</v>
      </c>
      <c r="C293" s="14" t="s">
        <v>470</v>
      </c>
      <c r="D293" s="15">
        <v>45533</v>
      </c>
      <c r="E293" s="15">
        <f t="shared" ca="1" si="34"/>
        <v>46195</v>
      </c>
      <c r="F293" s="1">
        <f t="shared" ca="1" si="30"/>
        <v>662</v>
      </c>
      <c r="G293" s="1">
        <f t="shared" ca="1" si="35"/>
        <v>662</v>
      </c>
      <c r="H293" s="1">
        <v>0</v>
      </c>
      <c r="I293" s="1">
        <v>0</v>
      </c>
      <c r="J293" s="13">
        <v>0</v>
      </c>
      <c r="K293" s="13">
        <f t="shared" ca="1" si="31"/>
        <v>55.166666666666664</v>
      </c>
      <c r="L293" s="1">
        <v>0</v>
      </c>
      <c r="M293" s="13">
        <f t="shared" ca="1" si="32"/>
        <v>55.166666666666664</v>
      </c>
      <c r="N293" s="13">
        <f>SUMIFS('Leave Tracker'!F:F,'Leave Tracker'!A:A,'Annual Leave Balance'!A293,'Leave Tracker'!C:C,"Annual Leave")</f>
        <v>30</v>
      </c>
      <c r="O293" s="13">
        <f t="shared" ca="1" si="33"/>
        <v>25.166666666666664</v>
      </c>
    </row>
    <row r="294" spans="1:15" hidden="1" x14ac:dyDescent="0.3">
      <c r="A294" s="1">
        <v>2710</v>
      </c>
      <c r="B294" s="14" t="s">
        <v>471</v>
      </c>
      <c r="C294" s="14" t="s">
        <v>68</v>
      </c>
      <c r="D294" s="15">
        <v>45537</v>
      </c>
      <c r="E294" s="15">
        <f t="shared" ca="1" si="34"/>
        <v>46195</v>
      </c>
      <c r="F294" s="1">
        <f t="shared" ca="1" si="30"/>
        <v>658</v>
      </c>
      <c r="G294" s="1">
        <f t="shared" ca="1" si="35"/>
        <v>658</v>
      </c>
      <c r="H294" s="1">
        <v>0</v>
      </c>
      <c r="I294" s="1">
        <v>0</v>
      </c>
      <c r="J294" s="13">
        <v>0</v>
      </c>
      <c r="K294" s="13">
        <f t="shared" ca="1" si="31"/>
        <v>54.833333333333329</v>
      </c>
      <c r="L294" s="1">
        <v>0</v>
      </c>
      <c r="M294" s="13">
        <f t="shared" ca="1" si="32"/>
        <v>54.833333333333329</v>
      </c>
      <c r="N294" s="13">
        <f>SUMIFS('Leave Tracker'!F:F,'Leave Tracker'!A:A,'Annual Leave Balance'!A294,'Leave Tracker'!C:C,"Annual Leave")</f>
        <v>0</v>
      </c>
      <c r="O294" s="13">
        <f t="shared" ca="1" si="33"/>
        <v>54.833333333333329</v>
      </c>
    </row>
    <row r="295" spans="1:15" hidden="1" x14ac:dyDescent="0.3">
      <c r="A295" s="1">
        <v>2711</v>
      </c>
      <c r="B295" s="14" t="s">
        <v>472</v>
      </c>
      <c r="C295" s="14" t="s">
        <v>99</v>
      </c>
      <c r="D295" s="15">
        <v>45541</v>
      </c>
      <c r="E295" s="15">
        <f t="shared" ca="1" si="34"/>
        <v>46195</v>
      </c>
      <c r="F295" s="1">
        <f t="shared" ca="1" si="30"/>
        <v>654</v>
      </c>
      <c r="G295" s="1">
        <f t="shared" ca="1" si="35"/>
        <v>654</v>
      </c>
      <c r="H295" s="1">
        <v>0</v>
      </c>
      <c r="I295" s="1">
        <v>0</v>
      </c>
      <c r="J295" s="13">
        <v>0</v>
      </c>
      <c r="K295" s="13">
        <f t="shared" ca="1" si="31"/>
        <v>54.5</v>
      </c>
      <c r="L295" s="1">
        <v>0</v>
      </c>
      <c r="M295" s="13">
        <f t="shared" ca="1" si="32"/>
        <v>54.5</v>
      </c>
      <c r="N295" s="13">
        <f>SUMIFS('Leave Tracker'!F:F,'Leave Tracker'!A:A,'Annual Leave Balance'!A295,'Leave Tracker'!C:C,"Annual Leave")</f>
        <v>0</v>
      </c>
      <c r="O295" s="13">
        <f t="shared" ca="1" si="33"/>
        <v>54.5</v>
      </c>
    </row>
    <row r="296" spans="1:15" hidden="1" x14ac:dyDescent="0.3">
      <c r="A296" s="1">
        <v>2712</v>
      </c>
      <c r="B296" s="14" t="s">
        <v>473</v>
      </c>
      <c r="C296" s="14" t="s">
        <v>371</v>
      </c>
      <c r="D296" s="15">
        <v>45536</v>
      </c>
      <c r="E296" s="15">
        <f t="shared" ca="1" si="34"/>
        <v>46195</v>
      </c>
      <c r="F296" s="1">
        <f t="shared" ca="1" si="30"/>
        <v>659</v>
      </c>
      <c r="G296" s="1">
        <f t="shared" ca="1" si="35"/>
        <v>659</v>
      </c>
      <c r="H296" s="1">
        <v>0</v>
      </c>
      <c r="I296" s="1">
        <v>0</v>
      </c>
      <c r="J296" s="13">
        <v>0</v>
      </c>
      <c r="K296" s="13">
        <f t="shared" ca="1" si="31"/>
        <v>54.916666666666664</v>
      </c>
      <c r="L296" s="1">
        <v>0</v>
      </c>
      <c r="M296" s="13">
        <f t="shared" ca="1" si="32"/>
        <v>54.916666666666664</v>
      </c>
      <c r="N296" s="13">
        <v>23</v>
      </c>
      <c r="O296" s="13">
        <f t="shared" ca="1" si="33"/>
        <v>31.916666666666664</v>
      </c>
    </row>
    <row r="297" spans="1:15" hidden="1" x14ac:dyDescent="0.3">
      <c r="A297" s="1">
        <v>2713</v>
      </c>
      <c r="B297" s="14" t="s">
        <v>474</v>
      </c>
      <c r="C297" s="14" t="s">
        <v>475</v>
      </c>
      <c r="D297" s="15">
        <v>45474</v>
      </c>
      <c r="E297" s="15">
        <f t="shared" ca="1" si="34"/>
        <v>46195</v>
      </c>
      <c r="F297" s="1">
        <f t="shared" ca="1" si="30"/>
        <v>721</v>
      </c>
      <c r="G297" s="1">
        <f t="shared" ca="1" si="35"/>
        <v>721</v>
      </c>
      <c r="H297" s="1">
        <v>0</v>
      </c>
      <c r="I297" s="1">
        <v>0</v>
      </c>
      <c r="J297" s="13">
        <v>0</v>
      </c>
      <c r="K297" s="13">
        <f t="shared" ca="1" si="31"/>
        <v>60.083333333333336</v>
      </c>
      <c r="L297" s="1">
        <v>0</v>
      </c>
      <c r="M297" s="13">
        <f t="shared" ca="1" si="32"/>
        <v>60.083333333333336</v>
      </c>
      <c r="N297" s="13">
        <f>SUMIFS('Leave Tracker'!F:F,'Leave Tracker'!A:A,'Annual Leave Balance'!A297,'Leave Tracker'!C:C,"Annual Leave")</f>
        <v>0</v>
      </c>
      <c r="O297" s="13">
        <f t="shared" ca="1" si="33"/>
        <v>60.083333333333336</v>
      </c>
    </row>
    <row r="298" spans="1:15" hidden="1" x14ac:dyDescent="0.3">
      <c r="A298" s="1">
        <v>2714</v>
      </c>
      <c r="B298" s="14" t="s">
        <v>476</v>
      </c>
      <c r="C298" s="14" t="s">
        <v>477</v>
      </c>
      <c r="D298" s="15">
        <v>45474</v>
      </c>
      <c r="E298" s="15">
        <f t="shared" ca="1" si="34"/>
        <v>46195</v>
      </c>
      <c r="F298" s="1">
        <f t="shared" ca="1" si="30"/>
        <v>721</v>
      </c>
      <c r="G298" s="1">
        <f t="shared" ca="1" si="35"/>
        <v>721</v>
      </c>
      <c r="H298" s="1">
        <v>0</v>
      </c>
      <c r="I298" s="1">
        <v>0</v>
      </c>
      <c r="J298" s="13">
        <v>0</v>
      </c>
      <c r="K298" s="13">
        <f t="shared" ca="1" si="31"/>
        <v>60.083333333333336</v>
      </c>
      <c r="L298" s="1">
        <v>0</v>
      </c>
      <c r="M298" s="13">
        <f t="shared" ca="1" si="32"/>
        <v>60.083333333333336</v>
      </c>
      <c r="N298" s="13">
        <f>SUMIFS('Leave Tracker'!F:F,'Leave Tracker'!A:A,'Annual Leave Balance'!A298,'Leave Tracker'!C:C,"Annual Leave")</f>
        <v>0</v>
      </c>
      <c r="O298" s="13">
        <f t="shared" ca="1" si="33"/>
        <v>60.083333333333336</v>
      </c>
    </row>
    <row r="299" spans="1:15" hidden="1" x14ac:dyDescent="0.3">
      <c r="A299" s="1">
        <v>2715</v>
      </c>
      <c r="B299" s="14" t="s">
        <v>478</v>
      </c>
      <c r="C299" s="14" t="s">
        <v>68</v>
      </c>
      <c r="D299" s="15">
        <v>45551</v>
      </c>
      <c r="E299" s="15">
        <f t="shared" ca="1" si="34"/>
        <v>46195</v>
      </c>
      <c r="F299" s="1">
        <f t="shared" ca="1" si="30"/>
        <v>644</v>
      </c>
      <c r="G299" s="1">
        <f t="shared" ca="1" si="35"/>
        <v>644</v>
      </c>
      <c r="H299" s="1">
        <v>0</v>
      </c>
      <c r="I299" s="1">
        <v>0</v>
      </c>
      <c r="J299" s="13">
        <v>0</v>
      </c>
      <c r="K299" s="13">
        <f t="shared" ca="1" si="31"/>
        <v>53.666666666666671</v>
      </c>
      <c r="L299" s="1">
        <v>0</v>
      </c>
      <c r="M299" s="13">
        <f t="shared" ca="1" si="32"/>
        <v>53.666666666666671</v>
      </c>
      <c r="N299" s="13">
        <f>SUMIFS('Leave Tracker'!F:F,'Leave Tracker'!A:A,'Annual Leave Balance'!A299,'Leave Tracker'!C:C,"Annual Leave")</f>
        <v>0</v>
      </c>
      <c r="O299" s="13">
        <f t="shared" ca="1" si="33"/>
        <v>53.666666666666671</v>
      </c>
    </row>
    <row r="300" spans="1:15" hidden="1" x14ac:dyDescent="0.3">
      <c r="A300" s="1">
        <v>2716</v>
      </c>
      <c r="B300" s="14" t="s">
        <v>479</v>
      </c>
      <c r="C300" s="14" t="s">
        <v>68</v>
      </c>
      <c r="D300" s="15">
        <v>45551</v>
      </c>
      <c r="E300" s="15">
        <f t="shared" ca="1" si="34"/>
        <v>46195</v>
      </c>
      <c r="F300" s="1">
        <f t="shared" ca="1" si="30"/>
        <v>644</v>
      </c>
      <c r="G300" s="1">
        <f t="shared" ca="1" si="35"/>
        <v>644</v>
      </c>
      <c r="H300" s="1">
        <v>0</v>
      </c>
      <c r="I300" s="1">
        <v>0</v>
      </c>
      <c r="J300" s="13">
        <v>0</v>
      </c>
      <c r="K300" s="13">
        <f t="shared" ca="1" si="31"/>
        <v>53.666666666666671</v>
      </c>
      <c r="L300" s="1">
        <v>0</v>
      </c>
      <c r="M300" s="13">
        <f t="shared" ca="1" si="32"/>
        <v>53.666666666666671</v>
      </c>
      <c r="N300" s="13">
        <f>SUMIFS('Leave Tracker'!F:F,'Leave Tracker'!A:A,'Annual Leave Balance'!A300,'Leave Tracker'!C:C,"Annual Leave")</f>
        <v>0</v>
      </c>
      <c r="O300" s="13">
        <f t="shared" ca="1" si="33"/>
        <v>53.666666666666671</v>
      </c>
    </row>
    <row r="301" spans="1:15" hidden="1" x14ac:dyDescent="0.3">
      <c r="A301" s="1">
        <v>2717</v>
      </c>
      <c r="B301" s="14" t="s">
        <v>480</v>
      </c>
      <c r="C301" s="14" t="s">
        <v>68</v>
      </c>
      <c r="D301" s="15">
        <v>45551</v>
      </c>
      <c r="E301" s="15">
        <v>46001</v>
      </c>
      <c r="F301" s="1">
        <f t="shared" si="30"/>
        <v>450</v>
      </c>
      <c r="G301" s="1">
        <f t="shared" ref="G301:G332" si="36">F301-(H301+I301)</f>
        <v>450</v>
      </c>
      <c r="H301" s="1">
        <v>0</v>
      </c>
      <c r="I301" s="1">
        <v>0</v>
      </c>
      <c r="J301" s="13">
        <v>0</v>
      </c>
      <c r="K301" s="13">
        <f t="shared" si="31"/>
        <v>37.5</v>
      </c>
      <c r="L301" s="1">
        <v>0</v>
      </c>
      <c r="M301" s="13">
        <f t="shared" si="32"/>
        <v>37.5</v>
      </c>
      <c r="N301" s="13">
        <f>SUMIFS('Leave Tracker'!F:F,'Leave Tracker'!A:A,'Annual Leave Balance'!A301,'Leave Tracker'!C:C,"Annual Leave")</f>
        <v>0</v>
      </c>
      <c r="O301" s="13">
        <f t="shared" si="33"/>
        <v>37.5</v>
      </c>
    </row>
    <row r="302" spans="1:15" hidden="1" x14ac:dyDescent="0.3">
      <c r="A302" s="1">
        <v>2718</v>
      </c>
      <c r="B302" s="14" t="s">
        <v>481</v>
      </c>
      <c r="C302" s="14" t="s">
        <v>482</v>
      </c>
      <c r="D302" s="15">
        <v>45551</v>
      </c>
      <c r="E302" s="15">
        <f t="shared" ref="E302:E332" ca="1" si="37">TODAY()</f>
        <v>46195</v>
      </c>
      <c r="F302" s="1">
        <f t="shared" ca="1" si="30"/>
        <v>644</v>
      </c>
      <c r="G302" s="1">
        <f t="shared" ca="1" si="36"/>
        <v>644</v>
      </c>
      <c r="H302" s="1">
        <v>0</v>
      </c>
      <c r="I302" s="1">
        <v>0</v>
      </c>
      <c r="J302" s="13">
        <v>0</v>
      </c>
      <c r="K302" s="13">
        <f t="shared" ca="1" si="31"/>
        <v>53.666666666666671</v>
      </c>
      <c r="L302" s="1">
        <v>0</v>
      </c>
      <c r="M302" s="13">
        <f t="shared" ca="1" si="32"/>
        <v>53.666666666666671</v>
      </c>
      <c r="N302" s="13">
        <f>SUMIFS('Leave Tracker'!F:F,'Leave Tracker'!A:A,'Annual Leave Balance'!A302,'Leave Tracker'!C:C,"Annual Leave")</f>
        <v>0</v>
      </c>
      <c r="O302" s="13">
        <f t="shared" ca="1" si="33"/>
        <v>53.666666666666671</v>
      </c>
    </row>
    <row r="303" spans="1:15" hidden="1" x14ac:dyDescent="0.3">
      <c r="A303" s="1">
        <v>2719</v>
      </c>
      <c r="B303" s="14" t="s">
        <v>483</v>
      </c>
      <c r="C303" s="14" t="s">
        <v>68</v>
      </c>
      <c r="D303" s="15">
        <v>45559</v>
      </c>
      <c r="E303" s="15">
        <f t="shared" ca="1" si="37"/>
        <v>46195</v>
      </c>
      <c r="F303" s="1">
        <f t="shared" ca="1" si="30"/>
        <v>636</v>
      </c>
      <c r="G303" s="1">
        <f t="shared" ca="1" si="36"/>
        <v>636</v>
      </c>
      <c r="H303" s="1">
        <v>0</v>
      </c>
      <c r="I303" s="1">
        <v>0</v>
      </c>
      <c r="J303" s="13">
        <v>0</v>
      </c>
      <c r="K303" s="13">
        <f t="shared" ca="1" si="31"/>
        <v>53</v>
      </c>
      <c r="L303" s="1">
        <v>0</v>
      </c>
      <c r="M303" s="13">
        <f t="shared" ca="1" si="32"/>
        <v>53</v>
      </c>
      <c r="N303" s="13">
        <f>SUMIFS('Leave Tracker'!F:F,'Leave Tracker'!A:A,'Annual Leave Balance'!A303,'Leave Tracker'!C:C,"Annual Leave")</f>
        <v>0</v>
      </c>
      <c r="O303" s="13">
        <f t="shared" ca="1" si="33"/>
        <v>53</v>
      </c>
    </row>
    <row r="304" spans="1:15" hidden="1" x14ac:dyDescent="0.3">
      <c r="A304" s="1">
        <v>2720</v>
      </c>
      <c r="B304" s="14" t="s">
        <v>484</v>
      </c>
      <c r="C304" s="14" t="s">
        <v>68</v>
      </c>
      <c r="D304" s="15">
        <v>45559</v>
      </c>
      <c r="E304" s="15">
        <v>45998</v>
      </c>
      <c r="F304" s="1">
        <f t="shared" si="30"/>
        <v>439</v>
      </c>
      <c r="G304" s="1">
        <f t="shared" si="36"/>
        <v>439</v>
      </c>
      <c r="H304" s="1">
        <v>0</v>
      </c>
      <c r="I304" s="1">
        <v>0</v>
      </c>
      <c r="J304" s="13">
        <v>0</v>
      </c>
      <c r="K304" s="13">
        <f t="shared" si="31"/>
        <v>36.583333333333336</v>
      </c>
      <c r="L304" s="1">
        <v>0</v>
      </c>
      <c r="M304" s="13">
        <f t="shared" si="32"/>
        <v>36.583333333333336</v>
      </c>
      <c r="N304" s="13">
        <f>SUMIFS('Leave Tracker'!F:F,'Leave Tracker'!A:A,'Annual Leave Balance'!A304,'Leave Tracker'!C:C,"Annual Leave")</f>
        <v>0</v>
      </c>
      <c r="O304" s="13">
        <f t="shared" si="33"/>
        <v>36.583333333333336</v>
      </c>
    </row>
    <row r="305" spans="1:15" hidden="1" x14ac:dyDescent="0.3">
      <c r="A305" s="1">
        <v>2721</v>
      </c>
      <c r="B305" s="14" t="s">
        <v>485</v>
      </c>
      <c r="C305" s="14" t="s">
        <v>68</v>
      </c>
      <c r="D305" s="15">
        <v>45559</v>
      </c>
      <c r="E305" s="15">
        <f t="shared" ca="1" si="37"/>
        <v>46195</v>
      </c>
      <c r="F305" s="1">
        <f t="shared" ca="1" si="30"/>
        <v>636</v>
      </c>
      <c r="G305" s="1">
        <f t="shared" ca="1" si="36"/>
        <v>636</v>
      </c>
      <c r="H305" s="1">
        <v>0</v>
      </c>
      <c r="I305" s="1">
        <v>0</v>
      </c>
      <c r="J305" s="13">
        <v>0</v>
      </c>
      <c r="K305" s="13">
        <f t="shared" ca="1" si="31"/>
        <v>53</v>
      </c>
      <c r="L305" s="1">
        <v>0</v>
      </c>
      <c r="M305" s="13">
        <f t="shared" ca="1" si="32"/>
        <v>53</v>
      </c>
      <c r="N305" s="13">
        <f>SUMIFS('Leave Tracker'!F:F,'Leave Tracker'!A:A,'Annual Leave Balance'!A305,'Leave Tracker'!C:C,"Annual Leave")</f>
        <v>0</v>
      </c>
      <c r="O305" s="13">
        <f t="shared" ca="1" si="33"/>
        <v>53</v>
      </c>
    </row>
    <row r="306" spans="1:15" hidden="1" x14ac:dyDescent="0.3">
      <c r="A306" s="1">
        <v>2724</v>
      </c>
      <c r="B306" s="14" t="s">
        <v>486</v>
      </c>
      <c r="C306" s="14" t="s">
        <v>262</v>
      </c>
      <c r="D306" s="15">
        <v>45572</v>
      </c>
      <c r="E306" s="15">
        <f t="shared" ca="1" si="37"/>
        <v>46195</v>
      </c>
      <c r="F306" s="1">
        <f t="shared" ca="1" si="30"/>
        <v>623</v>
      </c>
      <c r="G306" s="1">
        <f t="shared" ca="1" si="36"/>
        <v>623</v>
      </c>
      <c r="H306" s="1">
        <v>0</v>
      </c>
      <c r="I306" s="1">
        <v>0</v>
      </c>
      <c r="J306" s="13">
        <v>0</v>
      </c>
      <c r="K306" s="13">
        <f t="shared" ca="1" si="31"/>
        <v>51.916666666666671</v>
      </c>
      <c r="L306" s="1">
        <v>0</v>
      </c>
      <c r="M306" s="13">
        <f t="shared" ca="1" si="32"/>
        <v>51.916666666666671</v>
      </c>
      <c r="N306" s="13">
        <f>SUMIFS('Leave Tracker'!F:F,'Leave Tracker'!A:A,'Annual Leave Balance'!A306,'Leave Tracker'!C:C,"Annual Leave")</f>
        <v>30</v>
      </c>
      <c r="O306" s="13">
        <f t="shared" ca="1" si="33"/>
        <v>21.916666666666671</v>
      </c>
    </row>
    <row r="307" spans="1:15" hidden="1" x14ac:dyDescent="0.3">
      <c r="A307" s="1">
        <v>2725</v>
      </c>
      <c r="B307" s="14" t="s">
        <v>487</v>
      </c>
      <c r="C307" s="14" t="s">
        <v>70</v>
      </c>
      <c r="D307" s="15">
        <v>45589</v>
      </c>
      <c r="E307" s="15">
        <f t="shared" ca="1" si="37"/>
        <v>46195</v>
      </c>
      <c r="F307" s="1">
        <f t="shared" ca="1" si="30"/>
        <v>606</v>
      </c>
      <c r="G307" s="1">
        <f t="shared" ca="1" si="36"/>
        <v>606</v>
      </c>
      <c r="H307" s="1">
        <v>0</v>
      </c>
      <c r="I307" s="1">
        <v>0</v>
      </c>
      <c r="J307" s="13">
        <v>0</v>
      </c>
      <c r="K307" s="13">
        <f t="shared" ca="1" si="31"/>
        <v>50.5</v>
      </c>
      <c r="L307" s="1">
        <v>0</v>
      </c>
      <c r="M307" s="13">
        <f t="shared" ca="1" si="32"/>
        <v>50.5</v>
      </c>
      <c r="N307" s="13">
        <f>SUMIFS('Leave Tracker'!F:F,'Leave Tracker'!A:A,'Annual Leave Balance'!A307,'Leave Tracker'!C:C,"Annual Leave")</f>
        <v>0</v>
      </c>
      <c r="O307" s="13">
        <f t="shared" ca="1" si="33"/>
        <v>50.5</v>
      </c>
    </row>
    <row r="308" spans="1:15" hidden="1" x14ac:dyDescent="0.3">
      <c r="A308" s="1">
        <v>2726</v>
      </c>
      <c r="B308" s="14" t="s">
        <v>488</v>
      </c>
      <c r="C308" s="14" t="s">
        <v>298</v>
      </c>
      <c r="D308" s="15">
        <v>45561</v>
      </c>
      <c r="E308" s="15">
        <f t="shared" ca="1" si="37"/>
        <v>46195</v>
      </c>
      <c r="F308" s="1">
        <f t="shared" ca="1" si="30"/>
        <v>634</v>
      </c>
      <c r="G308" s="1">
        <f t="shared" ca="1" si="36"/>
        <v>634</v>
      </c>
      <c r="H308" s="1">
        <v>0</v>
      </c>
      <c r="I308" s="1">
        <v>0</v>
      </c>
      <c r="J308" s="13">
        <v>0</v>
      </c>
      <c r="K308" s="13">
        <f t="shared" ca="1" si="31"/>
        <v>52.833333333333329</v>
      </c>
      <c r="L308" s="1">
        <v>0</v>
      </c>
      <c r="M308" s="13">
        <f t="shared" ca="1" si="32"/>
        <v>52.833333333333329</v>
      </c>
      <c r="N308" s="13">
        <f>SUMIFS('Leave Tracker'!F:F,'Leave Tracker'!A:A,'Annual Leave Balance'!A308,'Leave Tracker'!C:C,"Annual Leave")</f>
        <v>0</v>
      </c>
      <c r="O308" s="13">
        <f t="shared" ca="1" si="33"/>
        <v>52.833333333333329</v>
      </c>
    </row>
    <row r="309" spans="1:15" hidden="1" x14ac:dyDescent="0.3">
      <c r="A309" s="1">
        <v>2727</v>
      </c>
      <c r="B309" s="14" t="s">
        <v>489</v>
      </c>
      <c r="C309" s="14" t="s">
        <v>490</v>
      </c>
      <c r="D309" s="15">
        <v>45580</v>
      </c>
      <c r="E309" s="15">
        <f t="shared" ca="1" si="37"/>
        <v>46195</v>
      </c>
      <c r="F309" s="1">
        <f t="shared" ca="1" si="30"/>
        <v>615</v>
      </c>
      <c r="G309" s="1">
        <f t="shared" ca="1" si="36"/>
        <v>615</v>
      </c>
      <c r="H309" s="1">
        <v>0</v>
      </c>
      <c r="I309" s="1">
        <v>0</v>
      </c>
      <c r="J309" s="13">
        <v>0</v>
      </c>
      <c r="K309" s="13">
        <f t="shared" ca="1" si="31"/>
        <v>51.25</v>
      </c>
      <c r="L309" s="1">
        <v>0</v>
      </c>
      <c r="M309" s="13">
        <f t="shared" ca="1" si="32"/>
        <v>51.25</v>
      </c>
      <c r="N309" s="13">
        <f>SUMIFS('Leave Tracker'!F:F,'Leave Tracker'!A:A,'Annual Leave Balance'!A309,'Leave Tracker'!C:C,"Annual Leave")</f>
        <v>0</v>
      </c>
      <c r="O309" s="13">
        <f t="shared" ca="1" si="33"/>
        <v>51.25</v>
      </c>
    </row>
    <row r="310" spans="1:15" hidden="1" x14ac:dyDescent="0.3">
      <c r="A310" s="1">
        <v>2728</v>
      </c>
      <c r="B310" s="14" t="s">
        <v>491</v>
      </c>
      <c r="C310" s="14" t="s">
        <v>468</v>
      </c>
      <c r="D310" s="15">
        <v>45582</v>
      </c>
      <c r="E310" s="15">
        <f t="shared" ca="1" si="37"/>
        <v>46195</v>
      </c>
      <c r="F310" s="1">
        <f t="shared" ca="1" si="30"/>
        <v>613</v>
      </c>
      <c r="G310" s="1">
        <f t="shared" ca="1" si="36"/>
        <v>613</v>
      </c>
      <c r="H310" s="1">
        <v>0</v>
      </c>
      <c r="I310" s="1">
        <v>0</v>
      </c>
      <c r="J310" s="13">
        <v>0</v>
      </c>
      <c r="K310" s="13">
        <f t="shared" ca="1" si="31"/>
        <v>51.083333333333329</v>
      </c>
      <c r="L310" s="1">
        <v>0</v>
      </c>
      <c r="M310" s="13">
        <f t="shared" ca="1" si="32"/>
        <v>51.083333333333329</v>
      </c>
      <c r="N310" s="13">
        <f>SUMIFS('Leave Tracker'!F:F,'Leave Tracker'!A:A,'Annual Leave Balance'!A310,'Leave Tracker'!C:C,"Annual Leave")</f>
        <v>0</v>
      </c>
      <c r="O310" s="13">
        <f t="shared" ca="1" si="33"/>
        <v>51.083333333333329</v>
      </c>
    </row>
    <row r="311" spans="1:15" hidden="1" x14ac:dyDescent="0.3">
      <c r="A311" s="1">
        <v>2729</v>
      </c>
      <c r="B311" s="14" t="s">
        <v>492</v>
      </c>
      <c r="C311" s="14" t="s">
        <v>493</v>
      </c>
      <c r="D311" s="15">
        <v>45586</v>
      </c>
      <c r="E311" s="15">
        <f t="shared" ca="1" si="37"/>
        <v>46195</v>
      </c>
      <c r="F311" s="1">
        <f t="shared" ca="1" si="30"/>
        <v>609</v>
      </c>
      <c r="G311" s="1">
        <f t="shared" ca="1" si="36"/>
        <v>609</v>
      </c>
      <c r="H311" s="1">
        <v>0</v>
      </c>
      <c r="I311" s="1">
        <v>0</v>
      </c>
      <c r="J311" s="13">
        <v>0</v>
      </c>
      <c r="K311" s="13">
        <f t="shared" ca="1" si="31"/>
        <v>50.75</v>
      </c>
      <c r="L311" s="1">
        <v>0</v>
      </c>
      <c r="M311" s="13">
        <f t="shared" ca="1" si="32"/>
        <v>50.75</v>
      </c>
      <c r="N311" s="13">
        <f>SUMIFS('Leave Tracker'!F:F,'Leave Tracker'!A:A,'Annual Leave Balance'!A311,'Leave Tracker'!C:C,"Annual Leave")</f>
        <v>0</v>
      </c>
      <c r="O311" s="13">
        <f t="shared" ca="1" si="33"/>
        <v>50.75</v>
      </c>
    </row>
    <row r="312" spans="1:15" hidden="1" x14ac:dyDescent="0.3">
      <c r="A312" s="1">
        <v>2730</v>
      </c>
      <c r="B312" s="14" t="s">
        <v>494</v>
      </c>
      <c r="C312" s="14" t="s">
        <v>495</v>
      </c>
      <c r="D312" s="15">
        <v>45586</v>
      </c>
      <c r="E312" s="15">
        <f t="shared" ca="1" si="37"/>
        <v>46195</v>
      </c>
      <c r="F312" s="1">
        <f t="shared" ca="1" si="30"/>
        <v>609</v>
      </c>
      <c r="G312" s="1">
        <f t="shared" ca="1" si="36"/>
        <v>609</v>
      </c>
      <c r="H312" s="1">
        <v>0</v>
      </c>
      <c r="I312" s="1">
        <v>0</v>
      </c>
      <c r="J312" s="13">
        <v>0</v>
      </c>
      <c r="K312" s="13">
        <f t="shared" ca="1" si="31"/>
        <v>50.75</v>
      </c>
      <c r="L312" s="1">
        <v>0</v>
      </c>
      <c r="M312" s="13">
        <f t="shared" ca="1" si="32"/>
        <v>50.75</v>
      </c>
      <c r="N312" s="13">
        <f>SUMIFS('Leave Tracker'!F:F,'Leave Tracker'!A:A,'Annual Leave Balance'!A312,'Leave Tracker'!C:C,"Annual Leave")</f>
        <v>0</v>
      </c>
      <c r="O312" s="13">
        <f t="shared" ca="1" si="33"/>
        <v>50.75</v>
      </c>
    </row>
    <row r="313" spans="1:15" hidden="1" x14ac:dyDescent="0.3">
      <c r="A313" s="1">
        <v>2731</v>
      </c>
      <c r="B313" s="14" t="s">
        <v>496</v>
      </c>
      <c r="C313" s="14" t="s">
        <v>493</v>
      </c>
      <c r="D313" s="15">
        <v>45586</v>
      </c>
      <c r="E313" s="15">
        <f t="shared" ca="1" si="37"/>
        <v>46195</v>
      </c>
      <c r="F313" s="1">
        <f t="shared" ca="1" si="30"/>
        <v>609</v>
      </c>
      <c r="G313" s="1">
        <f t="shared" ca="1" si="36"/>
        <v>609</v>
      </c>
      <c r="H313" s="1">
        <v>0</v>
      </c>
      <c r="I313" s="1">
        <v>0</v>
      </c>
      <c r="J313" s="13">
        <v>0</v>
      </c>
      <c r="K313" s="13">
        <f t="shared" ca="1" si="31"/>
        <v>50.75</v>
      </c>
      <c r="L313" s="1">
        <v>0</v>
      </c>
      <c r="M313" s="13">
        <f t="shared" ca="1" si="32"/>
        <v>50.75</v>
      </c>
      <c r="N313" s="13">
        <f>SUMIFS('Leave Tracker'!F:F,'Leave Tracker'!A:A,'Annual Leave Balance'!A313,'Leave Tracker'!C:C,"Annual Leave")</f>
        <v>0</v>
      </c>
      <c r="O313" s="13">
        <f t="shared" ca="1" si="33"/>
        <v>50.75</v>
      </c>
    </row>
    <row r="314" spans="1:15" hidden="1" x14ac:dyDescent="0.3">
      <c r="A314" s="1">
        <v>2733</v>
      </c>
      <c r="B314" s="14" t="s">
        <v>509</v>
      </c>
      <c r="C314" s="14" t="s">
        <v>575</v>
      </c>
      <c r="D314" s="15">
        <v>45566</v>
      </c>
      <c r="E314" s="15">
        <f t="shared" ca="1" si="37"/>
        <v>46195</v>
      </c>
      <c r="F314" s="1">
        <f t="shared" ca="1" si="30"/>
        <v>629</v>
      </c>
      <c r="G314" s="1">
        <f t="shared" ca="1" si="36"/>
        <v>629</v>
      </c>
      <c r="H314" s="1">
        <v>0</v>
      </c>
      <c r="I314" s="1">
        <v>0</v>
      </c>
      <c r="J314" s="13">
        <v>0</v>
      </c>
      <c r="K314" s="13">
        <f t="shared" ca="1" si="31"/>
        <v>52.416666666666664</v>
      </c>
      <c r="L314" s="1">
        <v>0</v>
      </c>
      <c r="M314" s="13">
        <f t="shared" ca="1" si="32"/>
        <v>52.416666666666664</v>
      </c>
      <c r="N314" s="13">
        <f>SUMIFS('Leave Tracker'!F:F,'Leave Tracker'!A:A,'Annual Leave Balance'!A314,'Leave Tracker'!C:C,"Annual Leave")</f>
        <v>0</v>
      </c>
      <c r="O314" s="13">
        <f t="shared" ca="1" si="33"/>
        <v>52.416666666666664</v>
      </c>
    </row>
    <row r="315" spans="1:15" hidden="1" x14ac:dyDescent="0.3">
      <c r="A315" s="1">
        <v>2734</v>
      </c>
      <c r="B315" s="14" t="s">
        <v>510</v>
      </c>
      <c r="C315" s="14" t="s">
        <v>343</v>
      </c>
      <c r="D315" s="15">
        <v>45594</v>
      </c>
      <c r="E315" s="15">
        <f t="shared" ca="1" si="37"/>
        <v>46195</v>
      </c>
      <c r="F315" s="1">
        <f t="shared" ca="1" si="30"/>
        <v>601</v>
      </c>
      <c r="G315" s="1">
        <f t="shared" ca="1" si="36"/>
        <v>601</v>
      </c>
      <c r="H315" s="1">
        <v>0</v>
      </c>
      <c r="I315" s="1">
        <v>0</v>
      </c>
      <c r="J315" s="13">
        <v>0</v>
      </c>
      <c r="K315" s="13">
        <f t="shared" ca="1" si="31"/>
        <v>50.083333333333336</v>
      </c>
      <c r="L315" s="1">
        <v>0</v>
      </c>
      <c r="M315" s="13">
        <f t="shared" ca="1" si="32"/>
        <v>50.083333333333336</v>
      </c>
      <c r="N315" s="13">
        <f>SUMIFS('Leave Tracker'!F:F,'Leave Tracker'!A:A,'Annual Leave Balance'!A315,'Leave Tracker'!C:C,"Annual Leave")</f>
        <v>0</v>
      </c>
      <c r="O315" s="13">
        <f t="shared" ca="1" si="33"/>
        <v>50.083333333333336</v>
      </c>
    </row>
    <row r="316" spans="1:15" hidden="1" x14ac:dyDescent="0.3">
      <c r="A316" s="1">
        <v>2735</v>
      </c>
      <c r="B316" s="14" t="s">
        <v>511</v>
      </c>
      <c r="C316" s="14" t="s">
        <v>78</v>
      </c>
      <c r="D316" s="15">
        <v>45597</v>
      </c>
      <c r="E316" s="15">
        <f t="shared" ca="1" si="37"/>
        <v>46195</v>
      </c>
      <c r="F316" s="1">
        <f t="shared" ca="1" si="30"/>
        <v>598</v>
      </c>
      <c r="G316" s="1">
        <f t="shared" ca="1" si="36"/>
        <v>598</v>
      </c>
      <c r="H316" s="1">
        <v>0</v>
      </c>
      <c r="I316" s="1">
        <v>0</v>
      </c>
      <c r="J316" s="13">
        <v>0</v>
      </c>
      <c r="K316" s="13">
        <f t="shared" ca="1" si="31"/>
        <v>49.833333333333336</v>
      </c>
      <c r="L316" s="1">
        <v>0</v>
      </c>
      <c r="M316" s="13">
        <f t="shared" ca="1" si="32"/>
        <v>49.833333333333336</v>
      </c>
      <c r="N316" s="13">
        <f>SUMIFS('Leave Tracker'!F:F,'Leave Tracker'!A:A,'Annual Leave Balance'!A316,'Leave Tracker'!C:C,"Annual Leave")</f>
        <v>0</v>
      </c>
      <c r="O316" s="13">
        <f t="shared" ca="1" si="33"/>
        <v>49.833333333333336</v>
      </c>
    </row>
    <row r="317" spans="1:15" hidden="1" x14ac:dyDescent="0.3">
      <c r="A317" s="1">
        <v>2736</v>
      </c>
      <c r="B317" s="14" t="s">
        <v>512</v>
      </c>
      <c r="C317" s="14" t="s">
        <v>576</v>
      </c>
      <c r="D317" s="15">
        <v>45602</v>
      </c>
      <c r="E317" s="15">
        <f t="shared" ca="1" si="37"/>
        <v>46195</v>
      </c>
      <c r="F317" s="1">
        <f t="shared" ca="1" si="30"/>
        <v>593</v>
      </c>
      <c r="G317" s="1">
        <f t="shared" ca="1" si="36"/>
        <v>593</v>
      </c>
      <c r="H317" s="1">
        <v>0</v>
      </c>
      <c r="I317" s="1">
        <v>0</v>
      </c>
      <c r="J317" s="13">
        <v>0</v>
      </c>
      <c r="K317" s="13">
        <f t="shared" ca="1" si="31"/>
        <v>49.416666666666664</v>
      </c>
      <c r="L317" s="1">
        <v>0</v>
      </c>
      <c r="M317" s="13">
        <f t="shared" ca="1" si="32"/>
        <v>49.416666666666664</v>
      </c>
      <c r="N317" s="13">
        <f>SUMIFS('Leave Tracker'!F:F,'Leave Tracker'!A:A,'Annual Leave Balance'!A317,'Leave Tracker'!C:C,"Annual Leave")</f>
        <v>0</v>
      </c>
      <c r="O317" s="13">
        <f t="shared" ca="1" si="33"/>
        <v>49.416666666666664</v>
      </c>
    </row>
    <row r="318" spans="1:15" hidden="1" x14ac:dyDescent="0.3">
      <c r="A318" s="1">
        <v>2737</v>
      </c>
      <c r="B318" s="14" t="s">
        <v>25</v>
      </c>
      <c r="C318" s="14" t="s">
        <v>577</v>
      </c>
      <c r="D318" s="15">
        <v>45579</v>
      </c>
      <c r="E318" s="15">
        <f t="shared" ca="1" si="37"/>
        <v>46195</v>
      </c>
      <c r="F318" s="1">
        <f t="shared" ca="1" si="30"/>
        <v>616</v>
      </c>
      <c r="G318" s="1">
        <f t="shared" ca="1" si="36"/>
        <v>616</v>
      </c>
      <c r="H318" s="1">
        <v>0</v>
      </c>
      <c r="I318" s="1">
        <v>0</v>
      </c>
      <c r="J318" s="13">
        <v>0</v>
      </c>
      <c r="K318" s="13">
        <f t="shared" ca="1" si="31"/>
        <v>51.333333333333329</v>
      </c>
      <c r="L318" s="1">
        <v>0</v>
      </c>
      <c r="M318" s="13">
        <f t="shared" ca="1" si="32"/>
        <v>51.333333333333329</v>
      </c>
      <c r="N318" s="13">
        <f>SUMIFS('Leave Tracker'!F:F,'Leave Tracker'!A:A,'Annual Leave Balance'!A318,'Leave Tracker'!C:C,"Annual Leave")</f>
        <v>0</v>
      </c>
      <c r="O318" s="13">
        <f t="shared" ca="1" si="33"/>
        <v>51.333333333333329</v>
      </c>
    </row>
    <row r="319" spans="1:15" hidden="1" x14ac:dyDescent="0.3">
      <c r="A319" s="1">
        <v>2738</v>
      </c>
      <c r="B319" s="14" t="s">
        <v>498</v>
      </c>
      <c r="C319" s="14" t="s">
        <v>250</v>
      </c>
      <c r="D319" s="15">
        <v>45603</v>
      </c>
      <c r="E319" s="15">
        <f t="shared" ca="1" si="37"/>
        <v>46195</v>
      </c>
      <c r="F319" s="1">
        <f t="shared" ca="1" si="30"/>
        <v>592</v>
      </c>
      <c r="G319" s="1">
        <f t="shared" ca="1" si="36"/>
        <v>576</v>
      </c>
      <c r="H319" s="1">
        <v>0</v>
      </c>
      <c r="I319" s="1">
        <v>16</v>
      </c>
      <c r="J319" s="13">
        <v>0</v>
      </c>
      <c r="K319" s="13">
        <f t="shared" ca="1" si="31"/>
        <v>48</v>
      </c>
      <c r="L319" s="1">
        <v>0</v>
      </c>
      <c r="M319" s="13">
        <f t="shared" ca="1" si="32"/>
        <v>48</v>
      </c>
      <c r="N319" s="13">
        <f>SUMIFS('Leave Tracker'!F:F,'Leave Tracker'!A:A,'Annual Leave Balance'!A319,'Leave Tracker'!C:C,"Annual Leave")</f>
        <v>0</v>
      </c>
      <c r="O319" s="13">
        <f t="shared" ca="1" si="33"/>
        <v>48</v>
      </c>
    </row>
    <row r="320" spans="1:15" hidden="1" x14ac:dyDescent="0.3">
      <c r="A320" s="1">
        <v>2739</v>
      </c>
      <c r="B320" s="14" t="s">
        <v>513</v>
      </c>
      <c r="C320" s="14" t="s">
        <v>578</v>
      </c>
      <c r="D320" s="15">
        <v>45604</v>
      </c>
      <c r="E320" s="15">
        <f t="shared" ca="1" si="37"/>
        <v>46195</v>
      </c>
      <c r="F320" s="1">
        <f t="shared" ca="1" si="30"/>
        <v>591</v>
      </c>
      <c r="G320" s="1">
        <f t="shared" ca="1" si="36"/>
        <v>591</v>
      </c>
      <c r="H320" s="1">
        <v>0</v>
      </c>
      <c r="I320" s="1">
        <v>0</v>
      </c>
      <c r="J320" s="13">
        <v>0</v>
      </c>
      <c r="K320" s="13">
        <f t="shared" ca="1" si="31"/>
        <v>49.25</v>
      </c>
      <c r="L320" s="1">
        <v>0</v>
      </c>
      <c r="M320" s="13">
        <f t="shared" ca="1" si="32"/>
        <v>49.25</v>
      </c>
      <c r="N320" s="13">
        <f>SUMIFS('Leave Tracker'!F:F,'Leave Tracker'!A:A,'Annual Leave Balance'!A320,'Leave Tracker'!C:C,"Annual Leave")</f>
        <v>0</v>
      </c>
      <c r="O320" s="13">
        <f t="shared" ca="1" si="33"/>
        <v>49.25</v>
      </c>
    </row>
    <row r="321" spans="1:15" hidden="1" x14ac:dyDescent="0.3">
      <c r="A321" s="1">
        <v>2740</v>
      </c>
      <c r="B321" s="14" t="s">
        <v>514</v>
      </c>
      <c r="C321" s="14" t="s">
        <v>366</v>
      </c>
      <c r="D321" s="15">
        <v>45604</v>
      </c>
      <c r="E321" s="15">
        <f t="shared" ca="1" si="37"/>
        <v>46195</v>
      </c>
      <c r="F321" s="1">
        <f t="shared" ca="1" si="30"/>
        <v>591</v>
      </c>
      <c r="G321" s="1">
        <f t="shared" ca="1" si="36"/>
        <v>591</v>
      </c>
      <c r="H321" s="1">
        <v>0</v>
      </c>
      <c r="I321" s="1">
        <v>0</v>
      </c>
      <c r="J321" s="13">
        <v>0</v>
      </c>
      <c r="K321" s="13">
        <f t="shared" ca="1" si="31"/>
        <v>49.25</v>
      </c>
      <c r="L321" s="1">
        <v>0</v>
      </c>
      <c r="M321" s="13">
        <f t="shared" ca="1" si="32"/>
        <v>49.25</v>
      </c>
      <c r="N321" s="13">
        <f>SUMIFS('Leave Tracker'!F:F,'Leave Tracker'!A:A,'Annual Leave Balance'!A321,'Leave Tracker'!C:C,"Annual Leave")</f>
        <v>0</v>
      </c>
      <c r="O321" s="13">
        <f t="shared" ca="1" si="33"/>
        <v>49.25</v>
      </c>
    </row>
    <row r="322" spans="1:15" hidden="1" x14ac:dyDescent="0.3">
      <c r="A322" s="1">
        <v>2742</v>
      </c>
      <c r="B322" s="14" t="s">
        <v>515</v>
      </c>
      <c r="C322" s="14" t="s">
        <v>68</v>
      </c>
      <c r="D322" s="15">
        <v>45620</v>
      </c>
      <c r="E322" s="15">
        <f t="shared" ca="1" si="37"/>
        <v>46195</v>
      </c>
      <c r="F322" s="1">
        <f t="shared" ref="F322:F367" ca="1" si="38">E322-D322</f>
        <v>575</v>
      </c>
      <c r="G322" s="1">
        <f t="shared" ca="1" si="36"/>
        <v>575</v>
      </c>
      <c r="H322" s="1">
        <v>0</v>
      </c>
      <c r="I322" s="1">
        <v>0</v>
      </c>
      <c r="J322" s="13">
        <v>0</v>
      </c>
      <c r="K322" s="13">
        <f t="shared" ref="K322:K332" ca="1" si="39">G322/360*30</f>
        <v>47.916666666666671</v>
      </c>
      <c r="L322" s="1">
        <v>0</v>
      </c>
      <c r="M322" s="13">
        <f t="shared" ref="M322:M332" ca="1" si="40">K322-L322</f>
        <v>47.916666666666671</v>
      </c>
      <c r="N322" s="13">
        <f>SUMIFS('Leave Tracker'!F:F,'Leave Tracker'!A:A,'Annual Leave Balance'!A322,'Leave Tracker'!C:C,"Annual Leave")</f>
        <v>0</v>
      </c>
      <c r="O322" s="13">
        <f t="shared" ref="O322:O382" ca="1" si="41">M322-N322</f>
        <v>47.916666666666671</v>
      </c>
    </row>
    <row r="323" spans="1:15" hidden="1" x14ac:dyDescent="0.3">
      <c r="A323" s="1">
        <v>2743</v>
      </c>
      <c r="B323" s="14" t="s">
        <v>516</v>
      </c>
      <c r="C323" s="14" t="s">
        <v>68</v>
      </c>
      <c r="D323" s="15">
        <v>45619</v>
      </c>
      <c r="E323" s="15">
        <f t="shared" ca="1" si="37"/>
        <v>46195</v>
      </c>
      <c r="F323" s="1">
        <f t="shared" ca="1" si="38"/>
        <v>576</v>
      </c>
      <c r="G323" s="1">
        <f t="shared" ca="1" si="36"/>
        <v>576</v>
      </c>
      <c r="H323" s="1">
        <v>0</v>
      </c>
      <c r="I323" s="1">
        <v>0</v>
      </c>
      <c r="J323" s="13">
        <v>0</v>
      </c>
      <c r="K323" s="13">
        <f t="shared" ca="1" si="39"/>
        <v>48</v>
      </c>
      <c r="L323" s="1">
        <v>0</v>
      </c>
      <c r="M323" s="13">
        <f t="shared" ca="1" si="40"/>
        <v>48</v>
      </c>
      <c r="N323" s="13">
        <f>SUMIFS('Leave Tracker'!F:F,'Leave Tracker'!A:A,'Annual Leave Balance'!A323,'Leave Tracker'!C:C,"Annual Leave")</f>
        <v>0</v>
      </c>
      <c r="O323" s="13">
        <f t="shared" ca="1" si="41"/>
        <v>48</v>
      </c>
    </row>
    <row r="324" spans="1:15" hidden="1" x14ac:dyDescent="0.3">
      <c r="A324" s="1">
        <v>2745</v>
      </c>
      <c r="B324" s="14" t="s">
        <v>517</v>
      </c>
      <c r="C324" s="14" t="s">
        <v>68</v>
      </c>
      <c r="D324" s="15">
        <v>45623</v>
      </c>
      <c r="E324" s="15">
        <f t="shared" ca="1" si="37"/>
        <v>46195</v>
      </c>
      <c r="F324" s="1">
        <f t="shared" ca="1" si="38"/>
        <v>572</v>
      </c>
      <c r="G324" s="1">
        <f t="shared" ca="1" si="36"/>
        <v>572</v>
      </c>
      <c r="H324" s="1">
        <v>0</v>
      </c>
      <c r="I324" s="1">
        <v>0</v>
      </c>
      <c r="J324" s="13">
        <v>0</v>
      </c>
      <c r="K324" s="13">
        <f t="shared" ca="1" si="39"/>
        <v>47.666666666666664</v>
      </c>
      <c r="L324" s="1">
        <v>0</v>
      </c>
      <c r="M324" s="13">
        <f t="shared" ca="1" si="40"/>
        <v>47.666666666666664</v>
      </c>
      <c r="N324" s="13">
        <f>SUMIFS('Leave Tracker'!F:F,'Leave Tracker'!A:A,'Annual Leave Balance'!A324,'Leave Tracker'!C:C,"Annual Leave")</f>
        <v>0</v>
      </c>
      <c r="O324" s="13">
        <f t="shared" ca="1" si="41"/>
        <v>47.666666666666664</v>
      </c>
    </row>
    <row r="325" spans="1:15" hidden="1" x14ac:dyDescent="0.3">
      <c r="A325" s="1">
        <v>2747</v>
      </c>
      <c r="B325" s="14" t="s">
        <v>518</v>
      </c>
      <c r="C325" s="14" t="s">
        <v>36</v>
      </c>
      <c r="D325" s="15">
        <v>45617</v>
      </c>
      <c r="E325" s="15">
        <f t="shared" ca="1" si="37"/>
        <v>46195</v>
      </c>
      <c r="F325" s="1">
        <f t="shared" ca="1" si="38"/>
        <v>578</v>
      </c>
      <c r="G325" s="1">
        <f t="shared" ca="1" si="36"/>
        <v>578</v>
      </c>
      <c r="H325" s="1">
        <v>0</v>
      </c>
      <c r="I325" s="1">
        <v>0</v>
      </c>
      <c r="J325" s="13">
        <v>0</v>
      </c>
      <c r="K325" s="13">
        <f t="shared" ca="1" si="39"/>
        <v>48.166666666666671</v>
      </c>
      <c r="L325" s="1">
        <v>0</v>
      </c>
      <c r="M325" s="13">
        <f t="shared" ca="1" si="40"/>
        <v>48.166666666666671</v>
      </c>
      <c r="N325" s="13">
        <f>SUMIFS('Leave Tracker'!F:F,'Leave Tracker'!A:A,'Annual Leave Balance'!A325,'Leave Tracker'!C:C,"Annual Leave")</f>
        <v>0</v>
      </c>
      <c r="O325" s="13">
        <f t="shared" ca="1" si="41"/>
        <v>48.166666666666671</v>
      </c>
    </row>
    <row r="326" spans="1:15" hidden="1" x14ac:dyDescent="0.3">
      <c r="A326" s="1">
        <v>2751</v>
      </c>
      <c r="B326" s="14" t="s">
        <v>519</v>
      </c>
      <c r="C326" s="14" t="s">
        <v>68</v>
      </c>
      <c r="D326" s="15">
        <v>45635</v>
      </c>
      <c r="E326" s="15">
        <f t="shared" ca="1" si="37"/>
        <v>46195</v>
      </c>
      <c r="F326" s="1">
        <f t="shared" ca="1" si="38"/>
        <v>560</v>
      </c>
      <c r="G326" s="1">
        <f t="shared" ca="1" si="36"/>
        <v>560</v>
      </c>
      <c r="H326" s="1">
        <v>0</v>
      </c>
      <c r="I326" s="1">
        <v>0</v>
      </c>
      <c r="J326" s="13">
        <v>0</v>
      </c>
      <c r="K326" s="13">
        <f t="shared" ca="1" si="39"/>
        <v>46.666666666666664</v>
      </c>
      <c r="L326" s="1">
        <v>0</v>
      </c>
      <c r="M326" s="13">
        <f t="shared" ca="1" si="40"/>
        <v>46.666666666666664</v>
      </c>
      <c r="N326" s="13">
        <f>SUMIFS('Leave Tracker'!F:F,'Leave Tracker'!A:A,'Annual Leave Balance'!A326,'Leave Tracker'!C:C,"Annual Leave")</f>
        <v>0</v>
      </c>
      <c r="O326" s="13">
        <f t="shared" ca="1" si="41"/>
        <v>46.666666666666664</v>
      </c>
    </row>
    <row r="327" spans="1:15" hidden="1" x14ac:dyDescent="0.3">
      <c r="A327" s="1">
        <v>2752</v>
      </c>
      <c r="B327" s="14" t="s">
        <v>520</v>
      </c>
      <c r="C327" s="14" t="s">
        <v>131</v>
      </c>
      <c r="D327" s="15">
        <v>45630</v>
      </c>
      <c r="E327" s="15">
        <f t="shared" ca="1" si="37"/>
        <v>46195</v>
      </c>
      <c r="F327" s="1">
        <f t="shared" ca="1" si="38"/>
        <v>565</v>
      </c>
      <c r="G327" s="1">
        <f t="shared" ca="1" si="36"/>
        <v>565</v>
      </c>
      <c r="H327" s="1">
        <v>0</v>
      </c>
      <c r="I327" s="1">
        <v>0</v>
      </c>
      <c r="J327" s="13">
        <v>0</v>
      </c>
      <c r="K327" s="13">
        <f t="shared" ca="1" si="39"/>
        <v>47.083333333333336</v>
      </c>
      <c r="L327" s="1">
        <v>0</v>
      </c>
      <c r="M327" s="13">
        <f t="shared" ca="1" si="40"/>
        <v>47.083333333333336</v>
      </c>
      <c r="N327" s="13">
        <f>SUMIFS('Leave Tracker'!F:F,'Leave Tracker'!A:A,'Annual Leave Balance'!A327,'Leave Tracker'!C:C,"Annual Leave")</f>
        <v>0</v>
      </c>
      <c r="O327" s="13">
        <f t="shared" ca="1" si="41"/>
        <v>47.083333333333336</v>
      </c>
    </row>
    <row r="328" spans="1:15" hidden="1" x14ac:dyDescent="0.3">
      <c r="A328" s="1">
        <v>2757</v>
      </c>
      <c r="B328" s="14" t="s">
        <v>521</v>
      </c>
      <c r="C328" s="14" t="s">
        <v>579</v>
      </c>
      <c r="D328" s="15">
        <v>45656</v>
      </c>
      <c r="E328" s="15">
        <f t="shared" ca="1" si="37"/>
        <v>46195</v>
      </c>
      <c r="F328" s="1">
        <f t="shared" ca="1" si="38"/>
        <v>539</v>
      </c>
      <c r="G328" s="1">
        <f t="shared" ca="1" si="36"/>
        <v>539</v>
      </c>
      <c r="H328" s="1">
        <v>0</v>
      </c>
      <c r="I328" s="1">
        <v>0</v>
      </c>
      <c r="J328" s="13">
        <v>0</v>
      </c>
      <c r="K328" s="13">
        <f t="shared" ca="1" si="39"/>
        <v>44.916666666666664</v>
      </c>
      <c r="L328" s="1">
        <v>0</v>
      </c>
      <c r="M328" s="13">
        <f t="shared" ca="1" si="40"/>
        <v>44.916666666666664</v>
      </c>
      <c r="N328" s="13">
        <f>SUMIFS('Leave Tracker'!F:F,'Leave Tracker'!A:A,'Annual Leave Balance'!A328,'Leave Tracker'!C:C,"Annual Leave")</f>
        <v>0</v>
      </c>
      <c r="O328" s="13">
        <f t="shared" ca="1" si="41"/>
        <v>44.916666666666664</v>
      </c>
    </row>
    <row r="329" spans="1:15" hidden="1" x14ac:dyDescent="0.3">
      <c r="A329" s="1">
        <v>2758</v>
      </c>
      <c r="B329" s="14" t="s">
        <v>522</v>
      </c>
      <c r="C329" s="14" t="s">
        <v>580</v>
      </c>
      <c r="D329" s="15">
        <v>45656</v>
      </c>
      <c r="E329" s="15">
        <f t="shared" ca="1" si="37"/>
        <v>46195</v>
      </c>
      <c r="F329" s="1">
        <f t="shared" ca="1" si="38"/>
        <v>539</v>
      </c>
      <c r="G329" s="1">
        <f t="shared" ca="1" si="36"/>
        <v>539</v>
      </c>
      <c r="H329" s="1">
        <v>0</v>
      </c>
      <c r="I329" s="1">
        <v>0</v>
      </c>
      <c r="J329" s="13">
        <v>0</v>
      </c>
      <c r="K329" s="13">
        <f t="shared" ca="1" si="39"/>
        <v>44.916666666666664</v>
      </c>
      <c r="L329" s="1">
        <v>0</v>
      </c>
      <c r="M329" s="13">
        <f t="shared" ca="1" si="40"/>
        <v>44.916666666666664</v>
      </c>
      <c r="N329" s="13">
        <f>SUMIFS('Leave Tracker'!F:F,'Leave Tracker'!A:A,'Annual Leave Balance'!A329,'Leave Tracker'!C:C,"Annual Leave")</f>
        <v>0</v>
      </c>
      <c r="O329" s="13">
        <f t="shared" ca="1" si="41"/>
        <v>44.916666666666664</v>
      </c>
    </row>
    <row r="330" spans="1:15" hidden="1" x14ac:dyDescent="0.3">
      <c r="A330" s="1">
        <v>2760</v>
      </c>
      <c r="B330" s="14" t="s">
        <v>523</v>
      </c>
      <c r="C330" s="14" t="s">
        <v>58</v>
      </c>
      <c r="D330" s="15">
        <v>45659</v>
      </c>
      <c r="E330" s="15">
        <f t="shared" ca="1" si="37"/>
        <v>46195</v>
      </c>
      <c r="F330" s="1">
        <f t="shared" ca="1" si="38"/>
        <v>536</v>
      </c>
      <c r="G330" s="1">
        <f t="shared" ca="1" si="36"/>
        <v>536</v>
      </c>
      <c r="H330" s="1">
        <v>0</v>
      </c>
      <c r="I330" s="1">
        <v>0</v>
      </c>
      <c r="J330" s="13">
        <v>0</v>
      </c>
      <c r="K330" s="13">
        <f t="shared" ca="1" si="39"/>
        <v>44.666666666666671</v>
      </c>
      <c r="L330" s="1">
        <v>0</v>
      </c>
      <c r="M330" s="13">
        <f t="shared" ca="1" si="40"/>
        <v>44.666666666666671</v>
      </c>
      <c r="N330" s="13">
        <f>SUMIFS('Leave Tracker'!F:F,'Leave Tracker'!A:A,'Annual Leave Balance'!A330,'Leave Tracker'!C:C,"Annual Leave")</f>
        <v>0</v>
      </c>
      <c r="O330" s="13">
        <f t="shared" ca="1" si="41"/>
        <v>44.666666666666671</v>
      </c>
    </row>
    <row r="331" spans="1:15" hidden="1" x14ac:dyDescent="0.3">
      <c r="A331" s="1">
        <v>2762</v>
      </c>
      <c r="B331" s="14" t="s">
        <v>524</v>
      </c>
      <c r="C331" s="14" t="s">
        <v>68</v>
      </c>
      <c r="D331" s="15">
        <v>45659</v>
      </c>
      <c r="E331" s="15">
        <f t="shared" ca="1" si="37"/>
        <v>46195</v>
      </c>
      <c r="F331" s="1">
        <f t="shared" ca="1" si="38"/>
        <v>536</v>
      </c>
      <c r="G331" s="1">
        <f t="shared" ca="1" si="36"/>
        <v>536</v>
      </c>
      <c r="H331" s="1">
        <v>0</v>
      </c>
      <c r="I331" s="1">
        <v>0</v>
      </c>
      <c r="J331" s="13">
        <v>0</v>
      </c>
      <c r="K331" s="13">
        <f t="shared" ca="1" si="39"/>
        <v>44.666666666666671</v>
      </c>
      <c r="L331" s="1">
        <v>0</v>
      </c>
      <c r="M331" s="13">
        <f t="shared" ca="1" si="40"/>
        <v>44.666666666666671</v>
      </c>
      <c r="N331" s="13">
        <f>SUMIFS('Leave Tracker'!F:F,'Leave Tracker'!A:A,'Annual Leave Balance'!A331,'Leave Tracker'!C:C,"Annual Leave")</f>
        <v>0</v>
      </c>
      <c r="O331" s="13">
        <f t="shared" ca="1" si="41"/>
        <v>44.666666666666671</v>
      </c>
    </row>
    <row r="332" spans="1:15" hidden="1" x14ac:dyDescent="0.3">
      <c r="A332" s="1">
        <v>2764</v>
      </c>
      <c r="B332" s="14" t="s">
        <v>525</v>
      </c>
      <c r="C332" s="14" t="s">
        <v>68</v>
      </c>
      <c r="D332" s="15">
        <v>45659</v>
      </c>
      <c r="E332" s="15">
        <f t="shared" ca="1" si="37"/>
        <v>46195</v>
      </c>
      <c r="F332" s="1">
        <f t="shared" ca="1" si="38"/>
        <v>536</v>
      </c>
      <c r="G332" s="1">
        <f t="shared" ca="1" si="36"/>
        <v>536</v>
      </c>
      <c r="H332" s="1">
        <v>0</v>
      </c>
      <c r="I332" s="1">
        <v>0</v>
      </c>
      <c r="J332" s="13">
        <v>0</v>
      </c>
      <c r="K332" s="13">
        <f t="shared" ca="1" si="39"/>
        <v>44.666666666666671</v>
      </c>
      <c r="L332" s="1">
        <v>0</v>
      </c>
      <c r="M332" s="13">
        <f t="shared" ca="1" si="40"/>
        <v>44.666666666666671</v>
      </c>
      <c r="N332" s="13">
        <f>SUMIFS('Leave Tracker'!F:F,'Leave Tracker'!A:A,'Annual Leave Balance'!A332,'Leave Tracker'!C:C,"Annual Leave")</f>
        <v>0</v>
      </c>
      <c r="O332" s="13">
        <f t="shared" ca="1" si="41"/>
        <v>44.666666666666671</v>
      </c>
    </row>
    <row r="333" spans="1:15" hidden="1" x14ac:dyDescent="0.3">
      <c r="A333" s="22">
        <v>2767</v>
      </c>
      <c r="B333" s="23" t="s">
        <v>526</v>
      </c>
      <c r="C333" s="23" t="s">
        <v>581</v>
      </c>
      <c r="D333" s="24"/>
      <c r="E333" s="24">
        <f t="shared" ref="E333:E364" ca="1" si="42">TODAY()</f>
        <v>46195</v>
      </c>
      <c r="F333" s="22">
        <f t="shared" ca="1" si="38"/>
        <v>46195</v>
      </c>
      <c r="G333" s="22">
        <f t="shared" ref="G333:G364" ca="1" si="43">F333-(H333+I333)</f>
        <v>46195</v>
      </c>
      <c r="H333" s="22">
        <v>0</v>
      </c>
      <c r="I333" s="22">
        <v>0</v>
      </c>
      <c r="J333" s="25">
        <v>0</v>
      </c>
      <c r="K333" s="25"/>
      <c r="L333" s="22">
        <v>0</v>
      </c>
      <c r="M333" s="25"/>
      <c r="N333" s="13">
        <f>SUMIFS('Leave Tracker'!F:F,'Leave Tracker'!A:A,'Annual Leave Balance'!A333,'Leave Tracker'!C:C,"Annual Leave")</f>
        <v>0</v>
      </c>
      <c r="O333" s="25">
        <f t="shared" si="41"/>
        <v>0</v>
      </c>
    </row>
    <row r="334" spans="1:15" hidden="1" x14ac:dyDescent="0.3">
      <c r="A334" s="22">
        <v>2768</v>
      </c>
      <c r="B334" s="23" t="s">
        <v>527</v>
      </c>
      <c r="C334" s="23" t="s">
        <v>581</v>
      </c>
      <c r="D334" s="24"/>
      <c r="E334" s="24">
        <f t="shared" ca="1" si="42"/>
        <v>46195</v>
      </c>
      <c r="F334" s="22">
        <f t="shared" ca="1" si="38"/>
        <v>46195</v>
      </c>
      <c r="G334" s="22">
        <f t="shared" ca="1" si="43"/>
        <v>46195</v>
      </c>
      <c r="H334" s="22">
        <v>0</v>
      </c>
      <c r="I334" s="22">
        <v>0</v>
      </c>
      <c r="J334" s="25">
        <v>0</v>
      </c>
      <c r="K334" s="25"/>
      <c r="L334" s="22">
        <v>0</v>
      </c>
      <c r="M334" s="25"/>
      <c r="N334" s="13">
        <f>SUMIFS('Leave Tracker'!F:F,'Leave Tracker'!A:A,'Annual Leave Balance'!A334,'Leave Tracker'!C:C,"Annual Leave")</f>
        <v>0</v>
      </c>
      <c r="O334" s="25">
        <f t="shared" si="41"/>
        <v>0</v>
      </c>
    </row>
    <row r="335" spans="1:15" hidden="1" x14ac:dyDescent="0.3">
      <c r="A335" s="22">
        <v>2769</v>
      </c>
      <c r="B335" s="23" t="s">
        <v>528</v>
      </c>
      <c r="C335" s="23" t="s">
        <v>581</v>
      </c>
      <c r="D335" s="24"/>
      <c r="E335" s="24">
        <f t="shared" ca="1" si="42"/>
        <v>46195</v>
      </c>
      <c r="F335" s="22">
        <f t="shared" ca="1" si="38"/>
        <v>46195</v>
      </c>
      <c r="G335" s="22">
        <f t="shared" ca="1" si="43"/>
        <v>46195</v>
      </c>
      <c r="H335" s="22">
        <v>0</v>
      </c>
      <c r="I335" s="22">
        <v>0</v>
      </c>
      <c r="J335" s="25">
        <v>0</v>
      </c>
      <c r="K335" s="25"/>
      <c r="L335" s="22">
        <v>0</v>
      </c>
      <c r="M335" s="25"/>
      <c r="N335" s="13">
        <f>SUMIFS('Leave Tracker'!F:F,'Leave Tracker'!A:A,'Annual Leave Balance'!A335,'Leave Tracker'!C:C,"Annual Leave")</f>
        <v>0</v>
      </c>
      <c r="O335" s="25">
        <f t="shared" si="41"/>
        <v>0</v>
      </c>
    </row>
    <row r="336" spans="1:15" hidden="1" x14ac:dyDescent="0.3">
      <c r="A336" s="1">
        <v>2770</v>
      </c>
      <c r="B336" s="14" t="s">
        <v>529</v>
      </c>
      <c r="C336" s="14" t="s">
        <v>68</v>
      </c>
      <c r="D336" s="15">
        <v>45686</v>
      </c>
      <c r="E336" s="15">
        <f t="shared" ca="1" si="42"/>
        <v>46195</v>
      </c>
      <c r="F336" s="1">
        <f t="shared" ca="1" si="38"/>
        <v>509</v>
      </c>
      <c r="G336" s="1">
        <f t="shared" ca="1" si="43"/>
        <v>509</v>
      </c>
      <c r="H336" s="1">
        <v>0</v>
      </c>
      <c r="I336" s="1">
        <v>0</v>
      </c>
      <c r="J336" s="13">
        <v>0</v>
      </c>
      <c r="K336" s="13">
        <f t="shared" ref="K336:K367" ca="1" si="44">G336/360*30</f>
        <v>42.416666666666671</v>
      </c>
      <c r="L336" s="1">
        <v>0</v>
      </c>
      <c r="M336" s="13">
        <f t="shared" ref="M336:M382" ca="1" si="45">K336-L336</f>
        <v>42.416666666666671</v>
      </c>
      <c r="N336" s="13">
        <f>SUMIFS('Leave Tracker'!F:F,'Leave Tracker'!A:A,'Annual Leave Balance'!A336,'Leave Tracker'!C:C,"Annual Leave")</f>
        <v>0</v>
      </c>
      <c r="O336" s="13">
        <f t="shared" ca="1" si="41"/>
        <v>42.416666666666671</v>
      </c>
    </row>
    <row r="337" spans="1:15" hidden="1" x14ac:dyDescent="0.3">
      <c r="A337" s="1">
        <v>2772</v>
      </c>
      <c r="B337" s="14" t="s">
        <v>530</v>
      </c>
      <c r="C337" s="14" t="s">
        <v>68</v>
      </c>
      <c r="D337" s="15">
        <v>45686</v>
      </c>
      <c r="E337" s="15">
        <f t="shared" ca="1" si="42"/>
        <v>46195</v>
      </c>
      <c r="F337" s="1">
        <f t="shared" ca="1" si="38"/>
        <v>509</v>
      </c>
      <c r="G337" s="1">
        <f t="shared" ca="1" si="43"/>
        <v>509</v>
      </c>
      <c r="H337" s="1">
        <v>0</v>
      </c>
      <c r="I337" s="1">
        <v>0</v>
      </c>
      <c r="J337" s="13">
        <v>0</v>
      </c>
      <c r="K337" s="13">
        <f t="shared" ca="1" si="44"/>
        <v>42.416666666666671</v>
      </c>
      <c r="L337" s="1">
        <v>0</v>
      </c>
      <c r="M337" s="13">
        <f t="shared" ca="1" si="45"/>
        <v>42.416666666666671</v>
      </c>
      <c r="N337" s="13">
        <f>SUMIFS('Leave Tracker'!F:F,'Leave Tracker'!A:A,'Annual Leave Balance'!A337,'Leave Tracker'!C:C,"Annual Leave")</f>
        <v>0</v>
      </c>
      <c r="O337" s="13">
        <f t="shared" ca="1" si="41"/>
        <v>42.416666666666671</v>
      </c>
    </row>
    <row r="338" spans="1:15" hidden="1" x14ac:dyDescent="0.3">
      <c r="A338" s="1">
        <v>2773</v>
      </c>
      <c r="B338" s="14" t="s">
        <v>531</v>
      </c>
      <c r="C338" s="14" t="s">
        <v>582</v>
      </c>
      <c r="D338" s="15">
        <v>45686</v>
      </c>
      <c r="E338" s="15">
        <f t="shared" ca="1" si="42"/>
        <v>46195</v>
      </c>
      <c r="F338" s="1">
        <f t="shared" ca="1" si="38"/>
        <v>509</v>
      </c>
      <c r="G338" s="1">
        <f t="shared" ca="1" si="43"/>
        <v>509</v>
      </c>
      <c r="H338" s="1">
        <v>0</v>
      </c>
      <c r="I338" s="1">
        <v>0</v>
      </c>
      <c r="J338" s="13">
        <v>0</v>
      </c>
      <c r="K338" s="13">
        <f t="shared" ca="1" si="44"/>
        <v>42.416666666666671</v>
      </c>
      <c r="L338" s="1">
        <v>0</v>
      </c>
      <c r="M338" s="13">
        <f t="shared" ca="1" si="45"/>
        <v>42.416666666666671</v>
      </c>
      <c r="N338" s="13">
        <f>SUMIFS('Leave Tracker'!F:F,'Leave Tracker'!A:A,'Annual Leave Balance'!A338,'Leave Tracker'!C:C,"Annual Leave")</f>
        <v>0</v>
      </c>
      <c r="O338" s="13">
        <f t="shared" ca="1" si="41"/>
        <v>42.416666666666671</v>
      </c>
    </row>
    <row r="339" spans="1:15" hidden="1" x14ac:dyDescent="0.3">
      <c r="A339" s="1">
        <v>2774</v>
      </c>
      <c r="B339" s="14" t="s">
        <v>532</v>
      </c>
      <c r="C339" s="14" t="s">
        <v>68</v>
      </c>
      <c r="D339" s="15">
        <v>45686</v>
      </c>
      <c r="E339" s="15">
        <f t="shared" ca="1" si="42"/>
        <v>46195</v>
      </c>
      <c r="F339" s="1">
        <f t="shared" ca="1" si="38"/>
        <v>509</v>
      </c>
      <c r="G339" s="1">
        <f t="shared" ca="1" si="43"/>
        <v>509</v>
      </c>
      <c r="H339" s="1">
        <v>0</v>
      </c>
      <c r="I339" s="1">
        <v>0</v>
      </c>
      <c r="J339" s="13">
        <v>0</v>
      </c>
      <c r="K339" s="13">
        <f t="shared" ca="1" si="44"/>
        <v>42.416666666666671</v>
      </c>
      <c r="L339" s="1">
        <v>0</v>
      </c>
      <c r="M339" s="13">
        <f t="shared" ca="1" si="45"/>
        <v>42.416666666666671</v>
      </c>
      <c r="N339" s="13">
        <f>SUMIFS('Leave Tracker'!F:F,'Leave Tracker'!A:A,'Annual Leave Balance'!A339,'Leave Tracker'!C:C,"Annual Leave")</f>
        <v>0</v>
      </c>
      <c r="O339" s="13">
        <f t="shared" ca="1" si="41"/>
        <v>42.416666666666671</v>
      </c>
    </row>
    <row r="340" spans="1:15" hidden="1" x14ac:dyDescent="0.3">
      <c r="A340" s="1">
        <v>2777</v>
      </c>
      <c r="B340" s="14" t="s">
        <v>533</v>
      </c>
      <c r="C340" s="14" t="s">
        <v>583</v>
      </c>
      <c r="D340" s="15">
        <v>45667</v>
      </c>
      <c r="E340" s="15">
        <f t="shared" ca="1" si="42"/>
        <v>46195</v>
      </c>
      <c r="F340" s="1">
        <f t="shared" ca="1" si="38"/>
        <v>528</v>
      </c>
      <c r="G340" s="1">
        <f t="shared" ca="1" si="43"/>
        <v>528</v>
      </c>
      <c r="H340" s="1">
        <v>0</v>
      </c>
      <c r="I340" s="1">
        <v>0</v>
      </c>
      <c r="J340" s="13">
        <v>0</v>
      </c>
      <c r="K340" s="13">
        <f t="shared" ca="1" si="44"/>
        <v>44</v>
      </c>
      <c r="L340" s="1">
        <v>0</v>
      </c>
      <c r="M340" s="13">
        <f t="shared" ca="1" si="45"/>
        <v>44</v>
      </c>
      <c r="N340" s="13">
        <f>SUMIFS('Leave Tracker'!F:F,'Leave Tracker'!A:A,'Annual Leave Balance'!A340,'Leave Tracker'!C:C,"Annual Leave")</f>
        <v>0</v>
      </c>
      <c r="O340" s="13">
        <f t="shared" ca="1" si="41"/>
        <v>44</v>
      </c>
    </row>
    <row r="341" spans="1:15" hidden="1" x14ac:dyDescent="0.3">
      <c r="A341" s="1">
        <v>2778</v>
      </c>
      <c r="B341" s="14" t="s">
        <v>534</v>
      </c>
      <c r="C341" s="14" t="s">
        <v>260</v>
      </c>
      <c r="D341" s="15">
        <v>45677</v>
      </c>
      <c r="E341" s="15">
        <f t="shared" ca="1" si="42"/>
        <v>46195</v>
      </c>
      <c r="F341" s="1">
        <f t="shared" ca="1" si="38"/>
        <v>518</v>
      </c>
      <c r="G341" s="1">
        <f t="shared" ca="1" si="43"/>
        <v>518</v>
      </c>
      <c r="H341" s="1">
        <v>0</v>
      </c>
      <c r="I341" s="1">
        <v>0</v>
      </c>
      <c r="J341" s="13">
        <v>0</v>
      </c>
      <c r="K341" s="13">
        <f t="shared" ca="1" si="44"/>
        <v>43.166666666666664</v>
      </c>
      <c r="L341" s="1">
        <v>0</v>
      </c>
      <c r="M341" s="13">
        <f t="shared" ca="1" si="45"/>
        <v>43.166666666666664</v>
      </c>
      <c r="N341" s="13">
        <f>SUMIFS('Leave Tracker'!F:F,'Leave Tracker'!A:A,'Annual Leave Balance'!A341,'Leave Tracker'!C:C,"Annual Leave")</f>
        <v>0</v>
      </c>
      <c r="O341" s="13">
        <f t="shared" ca="1" si="41"/>
        <v>43.166666666666664</v>
      </c>
    </row>
    <row r="342" spans="1:15" hidden="1" x14ac:dyDescent="0.3">
      <c r="A342" s="1">
        <v>2779</v>
      </c>
      <c r="B342" s="14" t="s">
        <v>535</v>
      </c>
      <c r="C342" s="14" t="s">
        <v>40</v>
      </c>
      <c r="D342" s="15">
        <v>45691</v>
      </c>
      <c r="E342" s="15">
        <f t="shared" ca="1" si="42"/>
        <v>46195</v>
      </c>
      <c r="F342" s="1">
        <f t="shared" ca="1" si="38"/>
        <v>504</v>
      </c>
      <c r="G342" s="1">
        <f t="shared" ca="1" si="43"/>
        <v>504</v>
      </c>
      <c r="H342" s="1">
        <v>0</v>
      </c>
      <c r="I342" s="1">
        <v>0</v>
      </c>
      <c r="J342" s="13">
        <v>0</v>
      </c>
      <c r="K342" s="13">
        <f t="shared" ca="1" si="44"/>
        <v>42</v>
      </c>
      <c r="L342" s="1">
        <v>0</v>
      </c>
      <c r="M342" s="13">
        <f t="shared" ca="1" si="45"/>
        <v>42</v>
      </c>
      <c r="N342" s="13">
        <f>SUMIFS('Leave Tracker'!F:F,'Leave Tracker'!A:A,'Annual Leave Balance'!A342,'Leave Tracker'!C:C,"Annual Leave")</f>
        <v>0</v>
      </c>
      <c r="O342" s="13">
        <f t="shared" ca="1" si="41"/>
        <v>42</v>
      </c>
    </row>
    <row r="343" spans="1:15" hidden="1" x14ac:dyDescent="0.3">
      <c r="A343" s="1">
        <v>2780</v>
      </c>
      <c r="B343" s="14" t="s">
        <v>536</v>
      </c>
      <c r="C343" s="14" t="s">
        <v>260</v>
      </c>
      <c r="D343" s="15">
        <v>45692</v>
      </c>
      <c r="E343" s="15">
        <f t="shared" ca="1" si="42"/>
        <v>46195</v>
      </c>
      <c r="F343" s="1">
        <f t="shared" ca="1" si="38"/>
        <v>503</v>
      </c>
      <c r="G343" s="1">
        <f t="shared" ca="1" si="43"/>
        <v>503</v>
      </c>
      <c r="H343" s="1">
        <v>0</v>
      </c>
      <c r="I343" s="1">
        <v>0</v>
      </c>
      <c r="J343" s="13">
        <v>0</v>
      </c>
      <c r="K343" s="13">
        <f t="shared" ca="1" si="44"/>
        <v>41.916666666666664</v>
      </c>
      <c r="L343" s="1">
        <v>0</v>
      </c>
      <c r="M343" s="13">
        <f t="shared" ca="1" si="45"/>
        <v>41.916666666666664</v>
      </c>
      <c r="N343" s="13">
        <f>SUMIFS('Leave Tracker'!F:F,'Leave Tracker'!A:A,'Annual Leave Balance'!A343,'Leave Tracker'!C:C,"Annual Leave")</f>
        <v>30</v>
      </c>
      <c r="O343" s="13">
        <f t="shared" ca="1" si="41"/>
        <v>11.916666666666664</v>
      </c>
    </row>
    <row r="344" spans="1:15" hidden="1" x14ac:dyDescent="0.3">
      <c r="A344" s="1">
        <v>2781</v>
      </c>
      <c r="B344" s="14" t="s">
        <v>537</v>
      </c>
      <c r="C344" s="14" t="s">
        <v>584</v>
      </c>
      <c r="D344" s="15">
        <v>45694</v>
      </c>
      <c r="E344" s="15">
        <f t="shared" ca="1" si="42"/>
        <v>46195</v>
      </c>
      <c r="F344" s="1">
        <f t="shared" ca="1" si="38"/>
        <v>501</v>
      </c>
      <c r="G344" s="1">
        <f t="shared" ca="1" si="43"/>
        <v>501</v>
      </c>
      <c r="H344" s="1">
        <v>0</v>
      </c>
      <c r="I344" s="1">
        <v>0</v>
      </c>
      <c r="J344" s="13">
        <v>0</v>
      </c>
      <c r="K344" s="13">
        <f t="shared" ca="1" si="44"/>
        <v>41.75</v>
      </c>
      <c r="L344" s="1">
        <v>0</v>
      </c>
      <c r="M344" s="13">
        <f t="shared" ca="1" si="45"/>
        <v>41.75</v>
      </c>
      <c r="N344" s="13">
        <f>SUMIFS('Leave Tracker'!F:F,'Leave Tracker'!A:A,'Annual Leave Balance'!A344,'Leave Tracker'!C:C,"Annual Leave")</f>
        <v>0</v>
      </c>
      <c r="O344" s="13">
        <f t="shared" ca="1" si="41"/>
        <v>41.75</v>
      </c>
    </row>
    <row r="345" spans="1:15" hidden="1" x14ac:dyDescent="0.3">
      <c r="A345" s="1">
        <v>2783</v>
      </c>
      <c r="B345" s="14" t="s">
        <v>538</v>
      </c>
      <c r="C345" s="14" t="s">
        <v>68</v>
      </c>
      <c r="D345" s="15">
        <v>45715</v>
      </c>
      <c r="E345" s="15">
        <f t="shared" ca="1" si="42"/>
        <v>46195</v>
      </c>
      <c r="F345" s="1">
        <f t="shared" ca="1" si="38"/>
        <v>480</v>
      </c>
      <c r="G345" s="1">
        <f t="shared" ca="1" si="43"/>
        <v>480</v>
      </c>
      <c r="H345" s="1">
        <v>0</v>
      </c>
      <c r="I345" s="1">
        <v>0</v>
      </c>
      <c r="J345" s="13">
        <v>0</v>
      </c>
      <c r="K345" s="13">
        <f t="shared" ca="1" si="44"/>
        <v>40</v>
      </c>
      <c r="L345" s="1">
        <v>0</v>
      </c>
      <c r="M345" s="13">
        <f t="shared" ca="1" si="45"/>
        <v>40</v>
      </c>
      <c r="N345" s="13">
        <f>SUMIFS('Leave Tracker'!F:F,'Leave Tracker'!A:A,'Annual Leave Balance'!A345,'Leave Tracker'!C:C,"Annual Leave")</f>
        <v>0</v>
      </c>
      <c r="O345" s="13">
        <f t="shared" ca="1" si="41"/>
        <v>40</v>
      </c>
    </row>
    <row r="346" spans="1:15" hidden="1" x14ac:dyDescent="0.3">
      <c r="A346" s="1">
        <v>2784</v>
      </c>
      <c r="B346" s="14" t="s">
        <v>539</v>
      </c>
      <c r="C346" s="14" t="s">
        <v>539</v>
      </c>
      <c r="D346" s="15">
        <v>45700</v>
      </c>
      <c r="E346" s="15">
        <f t="shared" ca="1" si="42"/>
        <v>46195</v>
      </c>
      <c r="F346" s="1">
        <f t="shared" ca="1" si="38"/>
        <v>495</v>
      </c>
      <c r="G346" s="1">
        <f t="shared" ca="1" si="43"/>
        <v>495</v>
      </c>
      <c r="H346" s="1">
        <v>0</v>
      </c>
      <c r="I346" s="1">
        <v>0</v>
      </c>
      <c r="J346" s="13">
        <v>0</v>
      </c>
      <c r="K346" s="13">
        <f t="shared" ca="1" si="44"/>
        <v>41.25</v>
      </c>
      <c r="L346" s="1">
        <v>0</v>
      </c>
      <c r="M346" s="13">
        <f t="shared" ca="1" si="45"/>
        <v>41.25</v>
      </c>
      <c r="N346" s="13">
        <f>SUMIFS('Leave Tracker'!F:F,'Leave Tracker'!A:A,'Annual Leave Balance'!A346,'Leave Tracker'!C:C,"Annual Leave")</f>
        <v>0</v>
      </c>
      <c r="O346" s="13">
        <f t="shared" ca="1" si="41"/>
        <v>41.25</v>
      </c>
    </row>
    <row r="347" spans="1:15" hidden="1" x14ac:dyDescent="0.3">
      <c r="A347" s="1">
        <v>2785</v>
      </c>
      <c r="B347" s="14" t="s">
        <v>540</v>
      </c>
      <c r="C347" s="14" t="s">
        <v>36</v>
      </c>
      <c r="D347" s="15">
        <v>45727</v>
      </c>
      <c r="E347" s="15">
        <f t="shared" ca="1" si="42"/>
        <v>46195</v>
      </c>
      <c r="F347" s="1">
        <f t="shared" ca="1" si="38"/>
        <v>468</v>
      </c>
      <c r="G347" s="1">
        <f t="shared" ca="1" si="43"/>
        <v>468</v>
      </c>
      <c r="H347" s="1">
        <v>0</v>
      </c>
      <c r="I347" s="1">
        <v>0</v>
      </c>
      <c r="J347" s="13">
        <v>0</v>
      </c>
      <c r="K347" s="13">
        <f t="shared" ca="1" si="44"/>
        <v>39</v>
      </c>
      <c r="L347" s="1">
        <v>0</v>
      </c>
      <c r="M347" s="13">
        <f t="shared" ca="1" si="45"/>
        <v>39</v>
      </c>
      <c r="N347" s="13">
        <f>SUMIFS('Leave Tracker'!F:F,'Leave Tracker'!A:A,'Annual Leave Balance'!A347,'Leave Tracker'!C:C,"Annual Leave")</f>
        <v>0</v>
      </c>
      <c r="O347" s="13">
        <f t="shared" ca="1" si="41"/>
        <v>39</v>
      </c>
    </row>
    <row r="348" spans="1:15" hidden="1" x14ac:dyDescent="0.3">
      <c r="A348" s="1">
        <v>2786</v>
      </c>
      <c r="B348" s="14" t="s">
        <v>541</v>
      </c>
      <c r="C348" s="14" t="s">
        <v>68</v>
      </c>
      <c r="D348" s="15">
        <v>45727</v>
      </c>
      <c r="E348" s="15">
        <f t="shared" ca="1" si="42"/>
        <v>46195</v>
      </c>
      <c r="F348" s="1">
        <f t="shared" ca="1" si="38"/>
        <v>468</v>
      </c>
      <c r="G348" s="1">
        <f t="shared" ca="1" si="43"/>
        <v>468</v>
      </c>
      <c r="H348" s="1">
        <v>0</v>
      </c>
      <c r="I348" s="1">
        <v>0</v>
      </c>
      <c r="J348" s="13">
        <v>0</v>
      </c>
      <c r="K348" s="13">
        <f t="shared" ca="1" si="44"/>
        <v>39</v>
      </c>
      <c r="L348" s="1">
        <v>0</v>
      </c>
      <c r="M348" s="13">
        <f t="shared" ca="1" si="45"/>
        <v>39</v>
      </c>
      <c r="N348" s="13">
        <f>SUMIFS('Leave Tracker'!F:F,'Leave Tracker'!A:A,'Annual Leave Balance'!A348,'Leave Tracker'!C:C,"Annual Leave")</f>
        <v>0</v>
      </c>
      <c r="O348" s="13">
        <f t="shared" ca="1" si="41"/>
        <v>39</v>
      </c>
    </row>
    <row r="349" spans="1:15" hidden="1" x14ac:dyDescent="0.3">
      <c r="A349" s="1">
        <v>2787</v>
      </c>
      <c r="B349" s="14" t="s">
        <v>542</v>
      </c>
      <c r="C349" s="14" t="s">
        <v>68</v>
      </c>
      <c r="D349" s="15">
        <v>45727</v>
      </c>
      <c r="E349" s="15">
        <f t="shared" ca="1" si="42"/>
        <v>46195</v>
      </c>
      <c r="F349" s="1">
        <f t="shared" ca="1" si="38"/>
        <v>468</v>
      </c>
      <c r="G349" s="1">
        <f t="shared" ca="1" si="43"/>
        <v>468</v>
      </c>
      <c r="H349" s="1">
        <v>0</v>
      </c>
      <c r="I349" s="1">
        <v>0</v>
      </c>
      <c r="J349" s="13">
        <v>0</v>
      </c>
      <c r="K349" s="13">
        <f t="shared" ca="1" si="44"/>
        <v>39</v>
      </c>
      <c r="L349" s="1">
        <v>0</v>
      </c>
      <c r="M349" s="13">
        <f t="shared" ca="1" si="45"/>
        <v>39</v>
      </c>
      <c r="N349" s="13">
        <f>SUMIFS('Leave Tracker'!F:F,'Leave Tracker'!A:A,'Annual Leave Balance'!A349,'Leave Tracker'!C:C,"Annual Leave")</f>
        <v>0</v>
      </c>
      <c r="O349" s="13">
        <f t="shared" ca="1" si="41"/>
        <v>39</v>
      </c>
    </row>
    <row r="350" spans="1:15" hidden="1" x14ac:dyDescent="0.3">
      <c r="A350" s="1">
        <v>2789</v>
      </c>
      <c r="B350" s="14" t="s">
        <v>543</v>
      </c>
      <c r="C350" s="14" t="s">
        <v>68</v>
      </c>
      <c r="D350" s="15">
        <v>45727</v>
      </c>
      <c r="E350" s="15">
        <f t="shared" ca="1" si="42"/>
        <v>46195</v>
      </c>
      <c r="F350" s="1">
        <f t="shared" ca="1" si="38"/>
        <v>468</v>
      </c>
      <c r="G350" s="1">
        <f t="shared" ca="1" si="43"/>
        <v>468</v>
      </c>
      <c r="H350" s="1">
        <v>0</v>
      </c>
      <c r="I350" s="1">
        <v>0</v>
      </c>
      <c r="J350" s="13">
        <v>0</v>
      </c>
      <c r="K350" s="13">
        <f t="shared" ca="1" si="44"/>
        <v>39</v>
      </c>
      <c r="L350" s="1">
        <v>0</v>
      </c>
      <c r="M350" s="13">
        <f t="shared" ca="1" si="45"/>
        <v>39</v>
      </c>
      <c r="N350" s="13">
        <f>SUMIFS('Leave Tracker'!F:F,'Leave Tracker'!A:A,'Annual Leave Balance'!A350,'Leave Tracker'!C:C,"Annual Leave")</f>
        <v>0</v>
      </c>
      <c r="O350" s="13">
        <f t="shared" ca="1" si="41"/>
        <v>39</v>
      </c>
    </row>
    <row r="351" spans="1:15" hidden="1" x14ac:dyDescent="0.3">
      <c r="A351" s="1">
        <v>2790</v>
      </c>
      <c r="B351" s="14" t="s">
        <v>544</v>
      </c>
      <c r="C351" s="14" t="s">
        <v>399</v>
      </c>
      <c r="D351" s="15">
        <v>45762</v>
      </c>
      <c r="E351" s="15">
        <f t="shared" ca="1" si="42"/>
        <v>46195</v>
      </c>
      <c r="F351" s="1">
        <f t="shared" ca="1" si="38"/>
        <v>433</v>
      </c>
      <c r="G351" s="1">
        <f t="shared" ca="1" si="43"/>
        <v>433</v>
      </c>
      <c r="H351" s="1">
        <v>0</v>
      </c>
      <c r="I351" s="1">
        <v>0</v>
      </c>
      <c r="J351" s="13">
        <v>0</v>
      </c>
      <c r="K351" s="13">
        <f t="shared" ca="1" si="44"/>
        <v>36.083333333333329</v>
      </c>
      <c r="L351" s="1">
        <v>0</v>
      </c>
      <c r="M351" s="13">
        <f t="shared" ca="1" si="45"/>
        <v>36.083333333333329</v>
      </c>
      <c r="N351" s="13">
        <f>SUMIFS('Leave Tracker'!F:F,'Leave Tracker'!A:A,'Annual Leave Balance'!A351,'Leave Tracker'!C:C,"Annual Leave")</f>
        <v>30</v>
      </c>
      <c r="O351" s="13">
        <f t="shared" ca="1" si="41"/>
        <v>6.0833333333333286</v>
      </c>
    </row>
    <row r="352" spans="1:15" hidden="1" x14ac:dyDescent="0.3">
      <c r="A352" s="1">
        <v>2791</v>
      </c>
      <c r="B352" s="14" t="s">
        <v>545</v>
      </c>
      <c r="C352" s="14" t="s">
        <v>585</v>
      </c>
      <c r="D352" s="15">
        <v>45722</v>
      </c>
      <c r="E352" s="15">
        <f t="shared" ca="1" si="42"/>
        <v>46195</v>
      </c>
      <c r="F352" s="1">
        <f t="shared" ca="1" si="38"/>
        <v>473</v>
      </c>
      <c r="G352" s="1">
        <f t="shared" ca="1" si="43"/>
        <v>473</v>
      </c>
      <c r="H352" s="1">
        <v>0</v>
      </c>
      <c r="I352" s="1">
        <v>0</v>
      </c>
      <c r="J352" s="13">
        <v>0</v>
      </c>
      <c r="K352" s="13">
        <f t="shared" ca="1" si="44"/>
        <v>39.416666666666664</v>
      </c>
      <c r="L352" s="1">
        <v>0</v>
      </c>
      <c r="M352" s="13">
        <f t="shared" ca="1" si="45"/>
        <v>39.416666666666664</v>
      </c>
      <c r="N352" s="13">
        <f>SUMIFS('Leave Tracker'!F:F,'Leave Tracker'!A:A,'Annual Leave Balance'!A352,'Leave Tracker'!C:C,"Annual Leave")</f>
        <v>0</v>
      </c>
      <c r="O352" s="13">
        <f t="shared" ca="1" si="41"/>
        <v>39.416666666666664</v>
      </c>
    </row>
    <row r="353" spans="1:15" hidden="1" x14ac:dyDescent="0.3">
      <c r="A353" s="1">
        <v>2793</v>
      </c>
      <c r="B353" s="14" t="s">
        <v>546</v>
      </c>
      <c r="C353" s="14" t="s">
        <v>68</v>
      </c>
      <c r="D353" s="15">
        <v>45784</v>
      </c>
      <c r="E353" s="15">
        <f t="shared" ca="1" si="42"/>
        <v>46195</v>
      </c>
      <c r="F353" s="1">
        <f t="shared" ca="1" si="38"/>
        <v>411</v>
      </c>
      <c r="G353" s="1">
        <f t="shared" ca="1" si="43"/>
        <v>411</v>
      </c>
      <c r="H353" s="1">
        <v>0</v>
      </c>
      <c r="I353" s="1">
        <v>0</v>
      </c>
      <c r="J353" s="13">
        <v>0</v>
      </c>
      <c r="K353" s="13">
        <f t="shared" ca="1" si="44"/>
        <v>34.25</v>
      </c>
      <c r="L353" s="1">
        <v>0</v>
      </c>
      <c r="M353" s="13">
        <f t="shared" ca="1" si="45"/>
        <v>34.25</v>
      </c>
      <c r="N353" s="13">
        <f>SUMIFS('Leave Tracker'!F:F,'Leave Tracker'!A:A,'Annual Leave Balance'!A353,'Leave Tracker'!C:C,"Annual Leave")</f>
        <v>0</v>
      </c>
      <c r="O353" s="13">
        <f t="shared" ca="1" si="41"/>
        <v>34.25</v>
      </c>
    </row>
    <row r="354" spans="1:15" hidden="1" x14ac:dyDescent="0.3">
      <c r="A354" s="1">
        <v>2794</v>
      </c>
      <c r="B354" s="14" t="s">
        <v>547</v>
      </c>
      <c r="C354" s="14" t="s">
        <v>68</v>
      </c>
      <c r="D354" s="15">
        <v>45786</v>
      </c>
      <c r="E354" s="15">
        <f t="shared" ca="1" si="42"/>
        <v>46195</v>
      </c>
      <c r="F354" s="1">
        <f t="shared" ca="1" si="38"/>
        <v>409</v>
      </c>
      <c r="G354" s="1">
        <f t="shared" ca="1" si="43"/>
        <v>409</v>
      </c>
      <c r="H354" s="1">
        <v>0</v>
      </c>
      <c r="I354" s="1">
        <v>0</v>
      </c>
      <c r="J354" s="13">
        <v>0</v>
      </c>
      <c r="K354" s="13">
        <f t="shared" ca="1" si="44"/>
        <v>34.083333333333329</v>
      </c>
      <c r="L354" s="1">
        <v>0</v>
      </c>
      <c r="M354" s="13">
        <f t="shared" ca="1" si="45"/>
        <v>34.083333333333329</v>
      </c>
      <c r="N354" s="13">
        <f>SUMIFS('Leave Tracker'!F:F,'Leave Tracker'!A:A,'Annual Leave Balance'!A354,'Leave Tracker'!C:C,"Annual Leave")</f>
        <v>0</v>
      </c>
      <c r="O354" s="13">
        <f t="shared" ca="1" si="41"/>
        <v>34.083333333333329</v>
      </c>
    </row>
    <row r="355" spans="1:15" hidden="1" x14ac:dyDescent="0.3">
      <c r="A355" s="1">
        <v>2795</v>
      </c>
      <c r="B355" s="14" t="s">
        <v>548</v>
      </c>
      <c r="C355" s="14" t="s">
        <v>68</v>
      </c>
      <c r="D355" s="15">
        <v>45789</v>
      </c>
      <c r="E355" s="15">
        <f t="shared" ca="1" si="42"/>
        <v>46195</v>
      </c>
      <c r="F355" s="1">
        <f t="shared" ca="1" si="38"/>
        <v>406</v>
      </c>
      <c r="G355" s="1">
        <f t="shared" ca="1" si="43"/>
        <v>406</v>
      </c>
      <c r="H355" s="1">
        <v>0</v>
      </c>
      <c r="I355" s="1">
        <v>0</v>
      </c>
      <c r="J355" s="13">
        <v>0</v>
      </c>
      <c r="K355" s="13">
        <f t="shared" ca="1" si="44"/>
        <v>33.833333333333336</v>
      </c>
      <c r="L355" s="1">
        <v>0</v>
      </c>
      <c r="M355" s="13">
        <f t="shared" ca="1" si="45"/>
        <v>33.833333333333336</v>
      </c>
      <c r="N355" s="13">
        <f>SUMIFS('Leave Tracker'!F:F,'Leave Tracker'!A:A,'Annual Leave Balance'!A355,'Leave Tracker'!C:C,"Annual Leave")</f>
        <v>0</v>
      </c>
      <c r="O355" s="13">
        <f t="shared" ca="1" si="41"/>
        <v>33.833333333333336</v>
      </c>
    </row>
    <row r="356" spans="1:15" hidden="1" x14ac:dyDescent="0.3">
      <c r="A356" s="1">
        <v>2796</v>
      </c>
      <c r="B356" s="14" t="s">
        <v>549</v>
      </c>
      <c r="C356" s="14" t="s">
        <v>68</v>
      </c>
      <c r="D356" s="15">
        <v>45789</v>
      </c>
      <c r="E356" s="15">
        <f t="shared" ca="1" si="42"/>
        <v>46195</v>
      </c>
      <c r="F356" s="1">
        <f t="shared" ca="1" si="38"/>
        <v>406</v>
      </c>
      <c r="G356" s="1">
        <f t="shared" ca="1" si="43"/>
        <v>406</v>
      </c>
      <c r="H356" s="1">
        <v>0</v>
      </c>
      <c r="I356" s="1">
        <v>0</v>
      </c>
      <c r="J356" s="13">
        <v>0</v>
      </c>
      <c r="K356" s="13">
        <f t="shared" ca="1" si="44"/>
        <v>33.833333333333336</v>
      </c>
      <c r="L356" s="1">
        <v>0</v>
      </c>
      <c r="M356" s="13">
        <f t="shared" ca="1" si="45"/>
        <v>33.833333333333336</v>
      </c>
      <c r="N356" s="13">
        <f>SUMIFS('Leave Tracker'!F:F,'Leave Tracker'!A:A,'Annual Leave Balance'!A356,'Leave Tracker'!C:C,"Annual Leave")</f>
        <v>0</v>
      </c>
      <c r="O356" s="13">
        <f t="shared" ca="1" si="41"/>
        <v>33.833333333333336</v>
      </c>
    </row>
    <row r="357" spans="1:15" hidden="1" x14ac:dyDescent="0.3">
      <c r="A357" s="1">
        <v>2797</v>
      </c>
      <c r="B357" s="14" t="s">
        <v>550</v>
      </c>
      <c r="C357" s="14" t="s">
        <v>586</v>
      </c>
      <c r="D357" s="15">
        <v>45793</v>
      </c>
      <c r="E357" s="15">
        <f t="shared" ca="1" si="42"/>
        <v>46195</v>
      </c>
      <c r="F357" s="1">
        <f t="shared" ca="1" si="38"/>
        <v>402</v>
      </c>
      <c r="G357" s="1">
        <f t="shared" ca="1" si="43"/>
        <v>402</v>
      </c>
      <c r="H357" s="1">
        <v>0</v>
      </c>
      <c r="I357" s="1">
        <v>0</v>
      </c>
      <c r="J357" s="13">
        <v>0</v>
      </c>
      <c r="K357" s="13">
        <f t="shared" ca="1" si="44"/>
        <v>33.5</v>
      </c>
      <c r="L357" s="1">
        <v>0</v>
      </c>
      <c r="M357" s="13">
        <f t="shared" ca="1" si="45"/>
        <v>33.5</v>
      </c>
      <c r="N357" s="13">
        <f>SUMIFS('Leave Tracker'!F:F,'Leave Tracker'!A:A,'Annual Leave Balance'!A357,'Leave Tracker'!C:C,"Annual Leave")</f>
        <v>0</v>
      </c>
      <c r="O357" s="13">
        <f t="shared" ca="1" si="41"/>
        <v>33.5</v>
      </c>
    </row>
    <row r="358" spans="1:15" hidden="1" x14ac:dyDescent="0.3">
      <c r="A358" s="1">
        <v>2798</v>
      </c>
      <c r="B358" s="14" t="s">
        <v>551</v>
      </c>
      <c r="C358" s="14" t="s">
        <v>68</v>
      </c>
      <c r="D358" s="15">
        <v>45807</v>
      </c>
      <c r="E358" s="15">
        <f t="shared" ca="1" si="42"/>
        <v>46195</v>
      </c>
      <c r="F358" s="1">
        <f t="shared" ca="1" si="38"/>
        <v>388</v>
      </c>
      <c r="G358" s="1">
        <f t="shared" ca="1" si="43"/>
        <v>388</v>
      </c>
      <c r="H358" s="1">
        <v>0</v>
      </c>
      <c r="I358" s="1">
        <v>0</v>
      </c>
      <c r="J358" s="13">
        <v>0</v>
      </c>
      <c r="K358" s="13">
        <f t="shared" ca="1" si="44"/>
        <v>32.333333333333329</v>
      </c>
      <c r="L358" s="1">
        <v>0</v>
      </c>
      <c r="M358" s="13">
        <f t="shared" ca="1" si="45"/>
        <v>32.333333333333329</v>
      </c>
      <c r="N358" s="13">
        <f>SUMIFS('Leave Tracker'!F:F,'Leave Tracker'!A:A,'Annual Leave Balance'!A358,'Leave Tracker'!C:C,"Annual Leave")</f>
        <v>0</v>
      </c>
      <c r="O358" s="13">
        <f t="shared" ca="1" si="41"/>
        <v>32.333333333333329</v>
      </c>
    </row>
    <row r="359" spans="1:15" hidden="1" x14ac:dyDescent="0.3">
      <c r="A359" s="1">
        <v>2799</v>
      </c>
      <c r="B359" s="14" t="s">
        <v>552</v>
      </c>
      <c r="C359" s="14" t="s">
        <v>68</v>
      </c>
      <c r="D359" s="15">
        <v>45809</v>
      </c>
      <c r="E359" s="15">
        <f t="shared" ca="1" si="42"/>
        <v>46195</v>
      </c>
      <c r="F359" s="1">
        <f t="shared" ca="1" si="38"/>
        <v>386</v>
      </c>
      <c r="G359" s="1">
        <f t="shared" ca="1" si="43"/>
        <v>386</v>
      </c>
      <c r="H359" s="1">
        <v>0</v>
      </c>
      <c r="I359" s="1">
        <v>0</v>
      </c>
      <c r="J359" s="13">
        <v>0</v>
      </c>
      <c r="K359" s="13">
        <f t="shared" ca="1" si="44"/>
        <v>32.166666666666664</v>
      </c>
      <c r="L359" s="1">
        <v>0</v>
      </c>
      <c r="M359" s="13">
        <f t="shared" ca="1" si="45"/>
        <v>32.166666666666664</v>
      </c>
      <c r="N359" s="13">
        <f>SUMIFS('Leave Tracker'!F:F,'Leave Tracker'!A:A,'Annual Leave Balance'!A359,'Leave Tracker'!C:C,"Annual Leave")</f>
        <v>0</v>
      </c>
      <c r="O359" s="13">
        <f t="shared" ca="1" si="41"/>
        <v>32.166666666666664</v>
      </c>
    </row>
    <row r="360" spans="1:15" hidden="1" x14ac:dyDescent="0.3">
      <c r="A360" s="1">
        <v>2800</v>
      </c>
      <c r="B360" s="14" t="s">
        <v>553</v>
      </c>
      <c r="C360" s="14" t="s">
        <v>587</v>
      </c>
      <c r="D360" s="15">
        <v>45819</v>
      </c>
      <c r="E360" s="15">
        <f t="shared" ca="1" si="42"/>
        <v>46195</v>
      </c>
      <c r="F360" s="1">
        <f t="shared" ca="1" si="38"/>
        <v>376</v>
      </c>
      <c r="G360" s="1">
        <f t="shared" ca="1" si="43"/>
        <v>376</v>
      </c>
      <c r="H360" s="1">
        <v>0</v>
      </c>
      <c r="I360" s="1">
        <v>0</v>
      </c>
      <c r="J360" s="13">
        <v>0</v>
      </c>
      <c r="K360" s="13">
        <f t="shared" ca="1" si="44"/>
        <v>31.333333333333336</v>
      </c>
      <c r="L360" s="1">
        <v>0</v>
      </c>
      <c r="M360" s="13">
        <f t="shared" ca="1" si="45"/>
        <v>31.333333333333336</v>
      </c>
      <c r="N360" s="13">
        <f>SUMIFS('Leave Tracker'!F:F,'Leave Tracker'!A:A,'Annual Leave Balance'!A360,'Leave Tracker'!C:C,"Annual Leave")</f>
        <v>3</v>
      </c>
      <c r="O360" s="13">
        <f t="shared" ca="1" si="41"/>
        <v>28.333333333333336</v>
      </c>
    </row>
    <row r="361" spans="1:15" hidden="1" x14ac:dyDescent="0.3">
      <c r="A361" s="1">
        <v>2801</v>
      </c>
      <c r="B361" s="14" t="s">
        <v>554</v>
      </c>
      <c r="C361" s="14" t="s">
        <v>68</v>
      </c>
      <c r="D361" s="15">
        <v>45829</v>
      </c>
      <c r="E361" s="15">
        <f t="shared" ca="1" si="42"/>
        <v>46195</v>
      </c>
      <c r="F361" s="1">
        <f t="shared" ca="1" si="38"/>
        <v>366</v>
      </c>
      <c r="G361" s="1">
        <f t="shared" ca="1" si="43"/>
        <v>366</v>
      </c>
      <c r="H361" s="1">
        <v>0</v>
      </c>
      <c r="I361" s="1">
        <v>0</v>
      </c>
      <c r="J361" s="13">
        <v>0</v>
      </c>
      <c r="K361" s="13">
        <f t="shared" ca="1" si="44"/>
        <v>30.5</v>
      </c>
      <c r="L361" s="1">
        <v>0</v>
      </c>
      <c r="M361" s="13">
        <f t="shared" ca="1" si="45"/>
        <v>30.5</v>
      </c>
      <c r="N361" s="13">
        <f>SUMIFS('Leave Tracker'!F:F,'Leave Tracker'!A:A,'Annual Leave Balance'!A361,'Leave Tracker'!C:C,"Annual Leave")</f>
        <v>0</v>
      </c>
      <c r="O361" s="13">
        <f t="shared" ca="1" si="41"/>
        <v>30.5</v>
      </c>
    </row>
    <row r="362" spans="1:15" hidden="1" x14ac:dyDescent="0.3">
      <c r="A362" s="1">
        <v>2802</v>
      </c>
      <c r="B362" s="14" t="s">
        <v>555</v>
      </c>
      <c r="C362" s="14" t="s">
        <v>68</v>
      </c>
      <c r="D362" s="15">
        <v>45831</v>
      </c>
      <c r="E362" s="15">
        <f t="shared" ca="1" si="42"/>
        <v>46195</v>
      </c>
      <c r="F362" s="1">
        <f t="shared" ca="1" si="38"/>
        <v>364</v>
      </c>
      <c r="G362" s="1">
        <f t="shared" ca="1" si="43"/>
        <v>364</v>
      </c>
      <c r="H362" s="1">
        <v>0</v>
      </c>
      <c r="I362" s="1">
        <v>0</v>
      </c>
      <c r="J362" s="13">
        <v>0</v>
      </c>
      <c r="K362" s="13">
        <f t="shared" ca="1" si="44"/>
        <v>30.333333333333332</v>
      </c>
      <c r="L362" s="1">
        <v>0</v>
      </c>
      <c r="M362" s="13">
        <f t="shared" ca="1" si="45"/>
        <v>30.333333333333332</v>
      </c>
      <c r="N362" s="13">
        <f>SUMIFS('Leave Tracker'!F:F,'Leave Tracker'!A:A,'Annual Leave Balance'!A362,'Leave Tracker'!C:C,"Annual Leave")</f>
        <v>0</v>
      </c>
      <c r="O362" s="13">
        <f t="shared" ca="1" si="41"/>
        <v>30.333333333333332</v>
      </c>
    </row>
    <row r="363" spans="1:15" hidden="1" x14ac:dyDescent="0.3">
      <c r="A363" s="1">
        <v>2803</v>
      </c>
      <c r="B363" s="14" t="s">
        <v>556</v>
      </c>
      <c r="C363" s="14" t="s">
        <v>68</v>
      </c>
      <c r="D363" s="15">
        <v>45831</v>
      </c>
      <c r="E363" s="15">
        <f t="shared" ca="1" si="42"/>
        <v>46195</v>
      </c>
      <c r="F363" s="1">
        <f t="shared" ca="1" si="38"/>
        <v>364</v>
      </c>
      <c r="G363" s="1">
        <f t="shared" ca="1" si="43"/>
        <v>364</v>
      </c>
      <c r="H363" s="1">
        <v>0</v>
      </c>
      <c r="I363" s="1">
        <v>0</v>
      </c>
      <c r="J363" s="13">
        <v>0</v>
      </c>
      <c r="K363" s="13">
        <f t="shared" ca="1" si="44"/>
        <v>30.333333333333332</v>
      </c>
      <c r="L363" s="1">
        <v>0</v>
      </c>
      <c r="M363" s="13">
        <f t="shared" ca="1" si="45"/>
        <v>30.333333333333332</v>
      </c>
      <c r="N363" s="13">
        <f>SUMIFS('Leave Tracker'!F:F,'Leave Tracker'!A:A,'Annual Leave Balance'!A363,'Leave Tracker'!C:C,"Annual Leave")</f>
        <v>0</v>
      </c>
      <c r="O363" s="13">
        <f t="shared" ca="1" si="41"/>
        <v>30.333333333333332</v>
      </c>
    </row>
    <row r="364" spans="1:15" hidden="1" x14ac:dyDescent="0.3">
      <c r="A364" s="1">
        <v>2804</v>
      </c>
      <c r="B364" s="14" t="s">
        <v>557</v>
      </c>
      <c r="C364" s="14" t="s">
        <v>68</v>
      </c>
      <c r="D364" s="15">
        <v>45831</v>
      </c>
      <c r="E364" s="15">
        <f t="shared" ca="1" si="42"/>
        <v>46195</v>
      </c>
      <c r="F364" s="1">
        <f t="shared" ca="1" si="38"/>
        <v>364</v>
      </c>
      <c r="G364" s="1">
        <f t="shared" ca="1" si="43"/>
        <v>364</v>
      </c>
      <c r="H364" s="1">
        <v>0</v>
      </c>
      <c r="I364" s="1">
        <v>0</v>
      </c>
      <c r="J364" s="13">
        <v>0</v>
      </c>
      <c r="K364" s="13">
        <f t="shared" ca="1" si="44"/>
        <v>30.333333333333332</v>
      </c>
      <c r="L364" s="1">
        <v>0</v>
      </c>
      <c r="M364" s="13">
        <f t="shared" ca="1" si="45"/>
        <v>30.333333333333332</v>
      </c>
      <c r="N364" s="13">
        <f>SUMIFS('Leave Tracker'!F:F,'Leave Tracker'!A:A,'Annual Leave Balance'!A364,'Leave Tracker'!C:C,"Annual Leave")</f>
        <v>0</v>
      </c>
      <c r="O364" s="13">
        <f t="shared" ca="1" si="41"/>
        <v>30.333333333333332</v>
      </c>
    </row>
    <row r="365" spans="1:15" hidden="1" x14ac:dyDescent="0.3">
      <c r="A365" s="1">
        <v>2805</v>
      </c>
      <c r="B365" s="14" t="s">
        <v>558</v>
      </c>
      <c r="C365" s="14" t="s">
        <v>68</v>
      </c>
      <c r="D365" s="15">
        <v>45832</v>
      </c>
      <c r="E365" s="15">
        <f t="shared" ref="E365:E382" ca="1" si="46">TODAY()</f>
        <v>46195</v>
      </c>
      <c r="F365" s="1">
        <f t="shared" ca="1" si="38"/>
        <v>363</v>
      </c>
      <c r="G365" s="1">
        <f t="shared" ref="G365:G382" ca="1" si="47">F365-(H365+I365)</f>
        <v>363</v>
      </c>
      <c r="H365" s="1">
        <v>0</v>
      </c>
      <c r="I365" s="1">
        <v>0</v>
      </c>
      <c r="J365" s="13">
        <v>0</v>
      </c>
      <c r="K365" s="13">
        <f t="shared" ca="1" si="44"/>
        <v>30.25</v>
      </c>
      <c r="L365" s="1">
        <v>0</v>
      </c>
      <c r="M365" s="13">
        <f t="shared" ca="1" si="45"/>
        <v>30.25</v>
      </c>
      <c r="N365" s="13">
        <f>SUMIFS('Leave Tracker'!F:F,'Leave Tracker'!A:A,'Annual Leave Balance'!A365,'Leave Tracker'!C:C,"Annual Leave")</f>
        <v>0</v>
      </c>
      <c r="O365" s="13">
        <f t="shared" ca="1" si="41"/>
        <v>30.25</v>
      </c>
    </row>
    <row r="366" spans="1:15" hidden="1" x14ac:dyDescent="0.3">
      <c r="A366" s="1">
        <v>2806</v>
      </c>
      <c r="B366" s="14" t="s">
        <v>264</v>
      </c>
      <c r="C366" s="14" t="s">
        <v>68</v>
      </c>
      <c r="D366" s="15">
        <v>45838</v>
      </c>
      <c r="E366" s="15">
        <f t="shared" ca="1" si="46"/>
        <v>46195</v>
      </c>
      <c r="F366" s="1">
        <f t="shared" ca="1" si="38"/>
        <v>357</v>
      </c>
      <c r="G366" s="1">
        <f t="shared" ca="1" si="47"/>
        <v>357</v>
      </c>
      <c r="H366" s="1">
        <v>0</v>
      </c>
      <c r="I366" s="1">
        <v>0</v>
      </c>
      <c r="J366" s="13">
        <v>0</v>
      </c>
      <c r="K366" s="13">
        <f t="shared" ca="1" si="44"/>
        <v>29.75</v>
      </c>
      <c r="L366" s="1">
        <v>0</v>
      </c>
      <c r="M366" s="13">
        <f t="shared" ca="1" si="45"/>
        <v>29.75</v>
      </c>
      <c r="N366" s="13">
        <f>SUMIFS('Leave Tracker'!F:F,'Leave Tracker'!A:A,'Annual Leave Balance'!A366,'Leave Tracker'!C:C,"Annual Leave")</f>
        <v>0</v>
      </c>
      <c r="O366" s="13">
        <f t="shared" ca="1" si="41"/>
        <v>29.75</v>
      </c>
    </row>
    <row r="367" spans="1:15" hidden="1" x14ac:dyDescent="0.3">
      <c r="A367" s="1">
        <v>2807</v>
      </c>
      <c r="B367" s="14" t="s">
        <v>559</v>
      </c>
      <c r="C367" s="14" t="s">
        <v>588</v>
      </c>
      <c r="D367" s="15">
        <v>45839</v>
      </c>
      <c r="E367" s="15">
        <f t="shared" ca="1" si="46"/>
        <v>46195</v>
      </c>
      <c r="F367" s="1">
        <f t="shared" ca="1" si="38"/>
        <v>356</v>
      </c>
      <c r="G367" s="1">
        <f t="shared" ca="1" si="47"/>
        <v>356</v>
      </c>
      <c r="H367" s="1">
        <v>0</v>
      </c>
      <c r="I367" s="1">
        <v>0</v>
      </c>
      <c r="J367" s="13">
        <v>0</v>
      </c>
      <c r="K367" s="13">
        <f t="shared" ca="1" si="44"/>
        <v>29.666666666666668</v>
      </c>
      <c r="L367" s="1">
        <v>0</v>
      </c>
      <c r="M367" s="13">
        <f t="shared" ca="1" si="45"/>
        <v>29.666666666666668</v>
      </c>
      <c r="N367" s="13">
        <f>SUMIFS('Leave Tracker'!F:F,'Leave Tracker'!A:A,'Annual Leave Balance'!A367,'Leave Tracker'!C:C,"Annual Leave")</f>
        <v>8</v>
      </c>
      <c r="O367" s="13">
        <f t="shared" ca="1" si="41"/>
        <v>21.666666666666668</v>
      </c>
    </row>
    <row r="368" spans="1:15" hidden="1" x14ac:dyDescent="0.3">
      <c r="A368" s="1">
        <v>2808</v>
      </c>
      <c r="B368" s="14" t="s">
        <v>560</v>
      </c>
      <c r="C368" s="14" t="s">
        <v>589</v>
      </c>
      <c r="D368" s="15"/>
      <c r="E368" s="15">
        <f t="shared" ca="1" si="46"/>
        <v>46195</v>
      </c>
      <c r="F368" s="1"/>
      <c r="G368" s="1">
        <f t="shared" si="47"/>
        <v>0</v>
      </c>
      <c r="H368" s="1">
        <v>0</v>
      </c>
      <c r="I368" s="1">
        <v>0</v>
      </c>
      <c r="J368" s="13">
        <v>0</v>
      </c>
      <c r="K368" s="13">
        <v>0</v>
      </c>
      <c r="L368" s="1">
        <v>0</v>
      </c>
      <c r="M368" s="13">
        <f t="shared" si="45"/>
        <v>0</v>
      </c>
      <c r="N368" s="13">
        <f>SUMIFS('Leave Tracker'!F:F,'Leave Tracker'!A:A,'Annual Leave Balance'!A368,'Leave Tracker'!C:C,"Annual Leave")</f>
        <v>0</v>
      </c>
      <c r="O368" s="13">
        <f t="shared" si="41"/>
        <v>0</v>
      </c>
    </row>
    <row r="369" spans="1:15" hidden="1" x14ac:dyDescent="0.3">
      <c r="A369" s="1">
        <v>2810</v>
      </c>
      <c r="B369" s="14" t="s">
        <v>561</v>
      </c>
      <c r="C369" s="14" t="s">
        <v>36</v>
      </c>
      <c r="D369" s="15">
        <v>45852</v>
      </c>
      <c r="E369" s="15">
        <f t="shared" ca="1" si="46"/>
        <v>46195</v>
      </c>
      <c r="F369" s="1">
        <f t="shared" ref="F369:F378" ca="1" si="48">E369-D369</f>
        <v>343</v>
      </c>
      <c r="G369" s="1">
        <f t="shared" ca="1" si="47"/>
        <v>343</v>
      </c>
      <c r="H369" s="1">
        <v>0</v>
      </c>
      <c r="I369" s="1">
        <v>0</v>
      </c>
      <c r="J369" s="13">
        <v>0</v>
      </c>
      <c r="K369" s="13">
        <f t="shared" ref="K369:K382" ca="1" si="49">G369/360*30</f>
        <v>28.583333333333332</v>
      </c>
      <c r="L369" s="1">
        <v>0</v>
      </c>
      <c r="M369" s="13">
        <f t="shared" ca="1" si="45"/>
        <v>28.583333333333332</v>
      </c>
      <c r="N369" s="13">
        <f>SUMIFS('Leave Tracker'!F:F,'Leave Tracker'!A:A,'Annual Leave Balance'!A369,'Leave Tracker'!C:C,"Annual Leave")</f>
        <v>0</v>
      </c>
      <c r="O369" s="13">
        <f t="shared" ca="1" si="41"/>
        <v>28.583333333333332</v>
      </c>
    </row>
    <row r="370" spans="1:15" hidden="1" x14ac:dyDescent="0.3">
      <c r="A370" s="1">
        <v>2811</v>
      </c>
      <c r="B370" s="14" t="s">
        <v>562</v>
      </c>
      <c r="C370" s="14" t="s">
        <v>36</v>
      </c>
      <c r="D370" s="15">
        <v>45852</v>
      </c>
      <c r="E370" s="15">
        <f t="shared" ca="1" si="46"/>
        <v>46195</v>
      </c>
      <c r="F370" s="1">
        <f t="shared" ca="1" si="48"/>
        <v>343</v>
      </c>
      <c r="G370" s="1">
        <f t="shared" ca="1" si="47"/>
        <v>343</v>
      </c>
      <c r="H370" s="1">
        <v>0</v>
      </c>
      <c r="I370" s="1">
        <v>0</v>
      </c>
      <c r="J370" s="13">
        <v>0</v>
      </c>
      <c r="K370" s="13">
        <f t="shared" ca="1" si="49"/>
        <v>28.583333333333332</v>
      </c>
      <c r="L370" s="1">
        <v>0</v>
      </c>
      <c r="M370" s="13">
        <f t="shared" ca="1" si="45"/>
        <v>28.583333333333332</v>
      </c>
      <c r="N370" s="13">
        <f>SUMIFS('Leave Tracker'!F:F,'Leave Tracker'!A:A,'Annual Leave Balance'!A370,'Leave Tracker'!C:C,"Annual Leave")</f>
        <v>0</v>
      </c>
      <c r="O370" s="13">
        <f t="shared" ca="1" si="41"/>
        <v>28.583333333333332</v>
      </c>
    </row>
    <row r="371" spans="1:15" hidden="1" x14ac:dyDescent="0.3">
      <c r="A371" s="1">
        <v>2812</v>
      </c>
      <c r="B371" s="14" t="s">
        <v>563</v>
      </c>
      <c r="C371" s="14" t="s">
        <v>36</v>
      </c>
      <c r="D371" s="15">
        <v>45852</v>
      </c>
      <c r="E371" s="15">
        <f t="shared" ca="1" si="46"/>
        <v>46195</v>
      </c>
      <c r="F371" s="1">
        <f t="shared" ca="1" si="48"/>
        <v>343</v>
      </c>
      <c r="G371" s="1">
        <f t="shared" ca="1" si="47"/>
        <v>343</v>
      </c>
      <c r="H371" s="1">
        <v>0</v>
      </c>
      <c r="I371" s="1">
        <v>0</v>
      </c>
      <c r="J371" s="13">
        <v>0</v>
      </c>
      <c r="K371" s="13">
        <f t="shared" ca="1" si="49"/>
        <v>28.583333333333332</v>
      </c>
      <c r="L371" s="1">
        <v>0</v>
      </c>
      <c r="M371" s="13">
        <f t="shared" ca="1" si="45"/>
        <v>28.583333333333332</v>
      </c>
      <c r="N371" s="13">
        <f>SUMIFS('Leave Tracker'!F:F,'Leave Tracker'!A:A,'Annual Leave Balance'!A371,'Leave Tracker'!C:C,"Annual Leave")</f>
        <v>0</v>
      </c>
      <c r="O371" s="13">
        <f t="shared" ca="1" si="41"/>
        <v>28.583333333333332</v>
      </c>
    </row>
    <row r="372" spans="1:15" hidden="1" x14ac:dyDescent="0.3">
      <c r="A372" s="1">
        <v>2813</v>
      </c>
      <c r="B372" s="14" t="s">
        <v>564</v>
      </c>
      <c r="C372" s="14" t="s">
        <v>590</v>
      </c>
      <c r="D372" s="15">
        <v>45848</v>
      </c>
      <c r="E372" s="15">
        <f t="shared" ca="1" si="46"/>
        <v>46195</v>
      </c>
      <c r="F372" s="1">
        <f t="shared" ca="1" si="48"/>
        <v>347</v>
      </c>
      <c r="G372" s="1">
        <f t="shared" ca="1" si="47"/>
        <v>347</v>
      </c>
      <c r="H372" s="1">
        <v>0</v>
      </c>
      <c r="I372" s="1">
        <v>0</v>
      </c>
      <c r="J372" s="13">
        <v>0</v>
      </c>
      <c r="K372" s="13">
        <f t="shared" ca="1" si="49"/>
        <v>28.916666666666668</v>
      </c>
      <c r="L372" s="1">
        <v>0</v>
      </c>
      <c r="M372" s="13">
        <f t="shared" ca="1" si="45"/>
        <v>28.916666666666668</v>
      </c>
      <c r="N372" s="13">
        <f>SUMIFS('Leave Tracker'!F:F,'Leave Tracker'!A:A,'Annual Leave Balance'!A372,'Leave Tracker'!C:C,"Annual Leave")</f>
        <v>0</v>
      </c>
      <c r="O372" s="13">
        <f t="shared" ca="1" si="41"/>
        <v>28.916666666666668</v>
      </c>
    </row>
    <row r="373" spans="1:15" hidden="1" x14ac:dyDescent="0.3">
      <c r="A373" s="1">
        <v>2814</v>
      </c>
      <c r="B373" s="14" t="s">
        <v>565</v>
      </c>
      <c r="C373" s="14" t="s">
        <v>591</v>
      </c>
      <c r="D373" s="15">
        <v>45846</v>
      </c>
      <c r="E373" s="15">
        <f t="shared" ca="1" si="46"/>
        <v>46195</v>
      </c>
      <c r="F373" s="1">
        <f t="shared" ca="1" si="48"/>
        <v>349</v>
      </c>
      <c r="G373" s="1">
        <f t="shared" ca="1" si="47"/>
        <v>349</v>
      </c>
      <c r="H373" s="1">
        <v>0</v>
      </c>
      <c r="I373" s="1">
        <v>0</v>
      </c>
      <c r="J373" s="13">
        <v>0</v>
      </c>
      <c r="K373" s="13">
        <f t="shared" ca="1" si="49"/>
        <v>29.083333333333332</v>
      </c>
      <c r="L373" s="1">
        <v>0</v>
      </c>
      <c r="M373" s="13">
        <f t="shared" ca="1" si="45"/>
        <v>29.083333333333332</v>
      </c>
      <c r="N373" s="13">
        <f>SUMIFS('Leave Tracker'!F:F,'Leave Tracker'!A:A,'Annual Leave Balance'!A373,'Leave Tracker'!C:C,"Annual Leave")</f>
        <v>0</v>
      </c>
      <c r="O373" s="13">
        <f t="shared" ca="1" si="41"/>
        <v>29.083333333333332</v>
      </c>
    </row>
    <row r="374" spans="1:15" hidden="1" x14ac:dyDescent="0.3">
      <c r="A374" s="1">
        <v>2815</v>
      </c>
      <c r="B374" s="14" t="s">
        <v>566</v>
      </c>
      <c r="C374" s="14" t="s">
        <v>592</v>
      </c>
      <c r="D374" s="15">
        <v>45859</v>
      </c>
      <c r="E374" s="15">
        <f t="shared" ca="1" si="46"/>
        <v>46195</v>
      </c>
      <c r="F374" s="1">
        <f t="shared" ca="1" si="48"/>
        <v>336</v>
      </c>
      <c r="G374" s="1">
        <f t="shared" ca="1" si="47"/>
        <v>336</v>
      </c>
      <c r="H374" s="1">
        <v>0</v>
      </c>
      <c r="I374" s="1">
        <v>0</v>
      </c>
      <c r="J374" s="13">
        <v>0</v>
      </c>
      <c r="K374" s="13">
        <f t="shared" ca="1" si="49"/>
        <v>28</v>
      </c>
      <c r="L374" s="1">
        <v>0</v>
      </c>
      <c r="M374" s="13">
        <f t="shared" ca="1" si="45"/>
        <v>28</v>
      </c>
      <c r="N374" s="13">
        <f>SUMIFS('Leave Tracker'!F:F,'Leave Tracker'!A:A,'Annual Leave Balance'!A374,'Leave Tracker'!C:C,"Annual Leave")</f>
        <v>0</v>
      </c>
      <c r="O374" s="13">
        <f t="shared" ca="1" si="41"/>
        <v>28</v>
      </c>
    </row>
    <row r="375" spans="1:15" hidden="1" x14ac:dyDescent="0.3">
      <c r="A375" s="1">
        <v>2816</v>
      </c>
      <c r="B375" s="14" t="s">
        <v>567</v>
      </c>
      <c r="C375" s="14" t="s">
        <v>371</v>
      </c>
      <c r="D375" s="15">
        <v>45852</v>
      </c>
      <c r="E375" s="15">
        <f t="shared" ca="1" si="46"/>
        <v>46195</v>
      </c>
      <c r="F375" s="1">
        <f t="shared" ca="1" si="48"/>
        <v>343</v>
      </c>
      <c r="G375" s="1">
        <f t="shared" ca="1" si="47"/>
        <v>343</v>
      </c>
      <c r="H375" s="1">
        <v>0</v>
      </c>
      <c r="I375" s="1">
        <v>0</v>
      </c>
      <c r="J375" s="13">
        <v>0</v>
      </c>
      <c r="K375" s="13">
        <f t="shared" ca="1" si="49"/>
        <v>28.583333333333332</v>
      </c>
      <c r="L375" s="1">
        <v>0</v>
      </c>
      <c r="M375" s="13">
        <f t="shared" ca="1" si="45"/>
        <v>28.583333333333332</v>
      </c>
      <c r="N375" s="13">
        <f>SUMIFS('Leave Tracker'!F:F,'Leave Tracker'!A:A,'Annual Leave Balance'!A375,'Leave Tracker'!C:C,"Annual Leave")</f>
        <v>0</v>
      </c>
      <c r="O375" s="13">
        <f t="shared" ca="1" si="41"/>
        <v>28.583333333333332</v>
      </c>
    </row>
    <row r="376" spans="1:15" hidden="1" x14ac:dyDescent="0.3">
      <c r="A376" s="1">
        <v>2817</v>
      </c>
      <c r="B376" s="14" t="s">
        <v>568</v>
      </c>
      <c r="C376" s="14" t="s">
        <v>371</v>
      </c>
      <c r="D376" s="15">
        <v>45856</v>
      </c>
      <c r="E376" s="15">
        <f t="shared" ca="1" si="46"/>
        <v>46195</v>
      </c>
      <c r="F376" s="1">
        <f t="shared" ca="1" si="48"/>
        <v>339</v>
      </c>
      <c r="G376" s="1">
        <f t="shared" ca="1" si="47"/>
        <v>339</v>
      </c>
      <c r="H376" s="1">
        <v>0</v>
      </c>
      <c r="I376" s="1">
        <v>0</v>
      </c>
      <c r="J376" s="13">
        <v>0</v>
      </c>
      <c r="K376" s="13">
        <f t="shared" ca="1" si="49"/>
        <v>28.25</v>
      </c>
      <c r="L376" s="1">
        <v>0</v>
      </c>
      <c r="M376" s="13">
        <f t="shared" ca="1" si="45"/>
        <v>28.25</v>
      </c>
      <c r="N376" s="13">
        <f>SUMIFS('Leave Tracker'!F:F,'Leave Tracker'!A:A,'Annual Leave Balance'!A376,'Leave Tracker'!C:C,"Annual Leave")</f>
        <v>0</v>
      </c>
      <c r="O376" s="13">
        <f t="shared" ca="1" si="41"/>
        <v>28.25</v>
      </c>
    </row>
    <row r="377" spans="1:15" hidden="1" x14ac:dyDescent="0.3">
      <c r="A377" s="1">
        <v>2818</v>
      </c>
      <c r="B377" s="14" t="s">
        <v>569</v>
      </c>
      <c r="C377" s="14" t="s">
        <v>450</v>
      </c>
      <c r="D377" s="15">
        <v>45859</v>
      </c>
      <c r="E377" s="15">
        <f t="shared" ca="1" si="46"/>
        <v>46195</v>
      </c>
      <c r="F377" s="1">
        <f t="shared" ca="1" si="48"/>
        <v>336</v>
      </c>
      <c r="G377" s="1">
        <f t="shared" ca="1" si="47"/>
        <v>336</v>
      </c>
      <c r="H377" s="1">
        <v>0</v>
      </c>
      <c r="I377" s="1">
        <v>0</v>
      </c>
      <c r="J377" s="13">
        <v>0</v>
      </c>
      <c r="K377" s="13">
        <f t="shared" ca="1" si="49"/>
        <v>28</v>
      </c>
      <c r="L377" s="1">
        <v>0</v>
      </c>
      <c r="M377" s="13">
        <f t="shared" ca="1" si="45"/>
        <v>28</v>
      </c>
      <c r="N377" s="13">
        <f>SUMIFS('Leave Tracker'!F:F,'Leave Tracker'!A:A,'Annual Leave Balance'!A377,'Leave Tracker'!C:C,"Annual Leave")</f>
        <v>0</v>
      </c>
      <c r="O377" s="13">
        <f t="shared" ca="1" si="41"/>
        <v>28</v>
      </c>
    </row>
    <row r="378" spans="1:15" hidden="1" x14ac:dyDescent="0.3">
      <c r="A378" s="1">
        <v>2819</v>
      </c>
      <c r="B378" s="14" t="s">
        <v>570</v>
      </c>
      <c r="C378" s="14" t="s">
        <v>371</v>
      </c>
      <c r="D378" s="15">
        <v>45866</v>
      </c>
      <c r="E378" s="15">
        <f t="shared" ca="1" si="46"/>
        <v>46195</v>
      </c>
      <c r="F378" s="1">
        <f t="shared" ca="1" si="48"/>
        <v>329</v>
      </c>
      <c r="G378" s="1">
        <f t="shared" ca="1" si="47"/>
        <v>329</v>
      </c>
      <c r="H378" s="1">
        <v>0</v>
      </c>
      <c r="I378" s="1">
        <v>0</v>
      </c>
      <c r="J378" s="13">
        <v>0</v>
      </c>
      <c r="K378" s="13">
        <f t="shared" ca="1" si="49"/>
        <v>27.416666666666664</v>
      </c>
      <c r="L378" s="1">
        <v>0</v>
      </c>
      <c r="M378" s="13">
        <f t="shared" ca="1" si="45"/>
        <v>27.416666666666664</v>
      </c>
      <c r="N378" s="13">
        <f>SUMIFS('Leave Tracker'!F:F,'Leave Tracker'!A:A,'Annual Leave Balance'!A378,'Leave Tracker'!C:C,"Annual Leave")</f>
        <v>0</v>
      </c>
      <c r="O378" s="13">
        <f t="shared" ca="1" si="41"/>
        <v>27.416666666666664</v>
      </c>
    </row>
    <row r="379" spans="1:15" hidden="1" x14ac:dyDescent="0.3">
      <c r="A379" s="1">
        <v>2820</v>
      </c>
      <c r="B379" s="14" t="s">
        <v>571</v>
      </c>
      <c r="C379" s="14" t="s">
        <v>36</v>
      </c>
      <c r="D379" s="15"/>
      <c r="E379" s="15">
        <f t="shared" ca="1" si="46"/>
        <v>46195</v>
      </c>
      <c r="F379" s="1"/>
      <c r="G379" s="1">
        <f t="shared" si="47"/>
        <v>0</v>
      </c>
      <c r="H379" s="1">
        <v>0</v>
      </c>
      <c r="I379" s="1">
        <v>0</v>
      </c>
      <c r="J379" s="13">
        <v>0</v>
      </c>
      <c r="K379" s="13">
        <f t="shared" si="49"/>
        <v>0</v>
      </c>
      <c r="L379" s="1">
        <v>0</v>
      </c>
      <c r="M379" s="13">
        <f t="shared" si="45"/>
        <v>0</v>
      </c>
      <c r="N379" s="13">
        <f>SUMIFS('Leave Tracker'!F:F,'Leave Tracker'!A:A,'Annual Leave Balance'!A379,'Leave Tracker'!C:C,"Annual Leave")</f>
        <v>0</v>
      </c>
      <c r="O379" s="13">
        <f t="shared" si="41"/>
        <v>0</v>
      </c>
    </row>
    <row r="380" spans="1:15" hidden="1" x14ac:dyDescent="0.3">
      <c r="A380" s="1">
        <v>2821</v>
      </c>
      <c r="B380" s="14" t="s">
        <v>572</v>
      </c>
      <c r="C380" s="14" t="s">
        <v>36</v>
      </c>
      <c r="D380" s="15"/>
      <c r="E380" s="15">
        <f t="shared" ca="1" si="46"/>
        <v>46195</v>
      </c>
      <c r="F380" s="1"/>
      <c r="G380" s="1">
        <f t="shared" si="47"/>
        <v>0</v>
      </c>
      <c r="H380" s="1">
        <v>0</v>
      </c>
      <c r="I380" s="1">
        <v>0</v>
      </c>
      <c r="J380" s="13">
        <v>0</v>
      </c>
      <c r="K380" s="13">
        <f t="shared" si="49"/>
        <v>0</v>
      </c>
      <c r="L380" s="1">
        <v>0</v>
      </c>
      <c r="M380" s="13">
        <f t="shared" si="45"/>
        <v>0</v>
      </c>
      <c r="N380" s="13">
        <f>SUMIFS('Leave Tracker'!F:F,'Leave Tracker'!A:A,'Annual Leave Balance'!A380,'Leave Tracker'!C:C,"Annual Leave")</f>
        <v>0</v>
      </c>
      <c r="O380" s="13">
        <f t="shared" si="41"/>
        <v>0</v>
      </c>
    </row>
    <row r="381" spans="1:15" hidden="1" x14ac:dyDescent="0.3">
      <c r="A381" s="1">
        <v>2822</v>
      </c>
      <c r="B381" s="14" t="s">
        <v>573</v>
      </c>
      <c r="C381" s="14" t="s">
        <v>36</v>
      </c>
      <c r="D381" s="15"/>
      <c r="E381" s="15">
        <f t="shared" ca="1" si="46"/>
        <v>46195</v>
      </c>
      <c r="F381" s="1"/>
      <c r="G381" s="1">
        <f t="shared" si="47"/>
        <v>0</v>
      </c>
      <c r="H381" s="1">
        <v>0</v>
      </c>
      <c r="I381" s="1">
        <v>0</v>
      </c>
      <c r="J381" s="13">
        <v>0</v>
      </c>
      <c r="K381" s="13">
        <f t="shared" si="49"/>
        <v>0</v>
      </c>
      <c r="L381" s="1">
        <v>0</v>
      </c>
      <c r="M381" s="13">
        <f t="shared" si="45"/>
        <v>0</v>
      </c>
      <c r="N381" s="13">
        <f>SUMIFS('Leave Tracker'!F:F,'Leave Tracker'!A:A,'Annual Leave Balance'!A381,'Leave Tracker'!C:C,"Annual Leave")</f>
        <v>0</v>
      </c>
      <c r="O381" s="13">
        <f t="shared" si="41"/>
        <v>0</v>
      </c>
    </row>
    <row r="382" spans="1:15" hidden="1" x14ac:dyDescent="0.3">
      <c r="A382" s="1">
        <v>2823</v>
      </c>
      <c r="B382" s="14" t="s">
        <v>574</v>
      </c>
      <c r="C382" s="14" t="s">
        <v>36</v>
      </c>
      <c r="D382" s="15"/>
      <c r="E382" s="15">
        <f t="shared" ca="1" si="46"/>
        <v>46195</v>
      </c>
      <c r="F382" s="1"/>
      <c r="G382" s="1">
        <f t="shared" si="47"/>
        <v>0</v>
      </c>
      <c r="H382" s="1">
        <v>0</v>
      </c>
      <c r="I382" s="1">
        <v>0</v>
      </c>
      <c r="J382" s="13">
        <v>0</v>
      </c>
      <c r="K382" s="13">
        <f t="shared" si="49"/>
        <v>0</v>
      </c>
      <c r="L382" s="1">
        <v>0</v>
      </c>
      <c r="M382" s="13">
        <f t="shared" si="45"/>
        <v>0</v>
      </c>
      <c r="N382" s="13">
        <f>SUMIFS('Leave Tracker'!F:F,'Leave Tracker'!A:A,'Annual Leave Balance'!A382,'Leave Tracker'!C:C,"Annual Leave")</f>
        <v>0</v>
      </c>
      <c r="O382" s="13">
        <f t="shared" si="41"/>
        <v>0</v>
      </c>
    </row>
  </sheetData>
  <autoFilter ref="A2:P382" xr:uid="{75F8FF38-A010-4884-ADDF-6153D9099584}">
    <filterColumn colId="1">
      <filters>
        <filter val="Amith V.R"/>
      </filters>
    </filterColumn>
  </autoFilter>
  <mergeCells count="1">
    <mergeCell ref="A1:P1"/>
  </mergeCells>
  <pageMargins left="0.7" right="0.7" top="0.75" bottom="0.75" header="0.3" footer="0.3"/>
  <pageSetup scale="6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Leave Tracker</vt:lpstr>
      <vt:lpstr>Leave report</vt:lpstr>
      <vt:lpstr>Annual Leave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Amith V.R</cp:lastModifiedBy>
  <cp:lastPrinted>2025-09-23T05:46:49Z</cp:lastPrinted>
  <dcterms:created xsi:type="dcterms:W3CDTF">2025-06-25T04:23:04Z</dcterms:created>
  <dcterms:modified xsi:type="dcterms:W3CDTF">2026-06-22T13:13:32Z</dcterms:modified>
</cp:coreProperties>
</file>